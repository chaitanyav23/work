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C:\Users\abhilash328468\Downloads\"/>
    </mc:Choice>
  </mc:AlternateContent>
  <xr:revisionPtr revIDLastSave="0" documentId="8_{12107EF6-C43E-41D4-9B9E-A33983CCC780}" xr6:coauthVersionLast="47" xr6:coauthVersionMax="47" xr10:uidLastSave="{00000000-0000-0000-0000-000000000000}"/>
  <bookViews>
    <workbookView xWindow="-110" yWindow="-110" windowWidth="19420" windowHeight="11500" tabRatio="956" firstSheet="9" activeTab="9" xr2:uid="{00000000-000D-0000-FFFF-FFFF00000000}"/>
  </bookViews>
  <sheets>
    <sheet name="Videos_Metadata" sheetId="1" r:id="rId1"/>
    <sheet name="Dataset_Metadata" sheetId="7" r:id="rId2"/>
    <sheet name="Pre-Processing" sheetId="2" r:id="rId3"/>
    <sheet name="DIR" sheetId="10" r:id="rId4"/>
    <sheet name="ASR" sheetId="3" r:id="rId5"/>
    <sheet name="ASR (2)" sheetId="9" state="hidden" r:id="rId6"/>
    <sheet name="Reference_Values" sheetId="5" state="hidden" r:id="rId7"/>
    <sheet name="Sheet1" sheetId="6" state="hidden" r:id="rId8"/>
    <sheet name="Main_Exp_tracker" sheetId="8" r:id="rId9"/>
    <sheet name="VAD" sheetId="11" r:id="rId10"/>
  </sheets>
  <definedNames>
    <definedName name="_xlnm._FilterDatabase" localSheetId="8" hidden="1">Main_Exp_tracker!$A$1:$U$6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11" l="1"/>
  <c r="K5" i="8"/>
  <c r="K6" i="8"/>
  <c r="K3" i="8"/>
  <c r="K4" i="8"/>
  <c r="D3" i="8"/>
  <c r="E3" i="8"/>
  <c r="F3" i="8"/>
</calcChain>
</file>

<file path=xl/sharedStrings.xml><?xml version="1.0" encoding="utf-8"?>
<sst xmlns="http://schemas.openxmlformats.org/spreadsheetml/2006/main" count="952" uniqueCount="438">
  <si>
    <t>Video_ID</t>
  </si>
  <si>
    <t>Video_Name</t>
  </si>
  <si>
    <t>Video_Source</t>
  </si>
  <si>
    <t>Video_Location_Link</t>
  </si>
  <si>
    <t>Video_Type (Indoor/Outdoor)</t>
  </si>
  <si>
    <t>Environment_Details</t>
  </si>
  <si>
    <t>Language</t>
  </si>
  <si>
    <t>Accent + Dialect</t>
  </si>
  <si>
    <t>Audio_Duration</t>
  </si>
  <si>
    <t>No_of_Speakers</t>
  </si>
  <si>
    <t>Single/Multi_Channel</t>
  </si>
  <si>
    <t>Sampling_Rate</t>
  </si>
  <si>
    <t>Audio_Format</t>
  </si>
  <si>
    <t>Backgorund_Noise</t>
  </si>
  <si>
    <t>Background_Noise_Type</t>
  </si>
  <si>
    <t>Overlap_Speech_Present</t>
  </si>
  <si>
    <t>Emotion_Present</t>
  </si>
  <si>
    <t>Recording_Device</t>
  </si>
  <si>
    <t>Ground_Truth_Available</t>
  </si>
  <si>
    <t>Use_Case</t>
  </si>
  <si>
    <t>Remarks</t>
  </si>
  <si>
    <t>Vid_ID_001, Vid_OD_001, Vid_Pod_001, Vid_News_001</t>
  </si>
  <si>
    <t>Name of the Video</t>
  </si>
  <si>
    <t>YT, Kaggle Etc</t>
  </si>
  <si>
    <t>YT link, Kaggle link Download link</t>
  </si>
  <si>
    <t xml:space="preserve">Recording Environment:
•	Indoor / Outdoor / Hybrid environment
•	Example Scenario: Two-person conversation recorded outside a residential area
Observed Environmental Conditions &amp; Background Noises:
•	Vehicle movement sounds
•	Car honking noise
•	Wind interference/noise
•	Emergency siren sounds
•	Dog barking in the background
Speech Characteristics:
•	Overlapping speech between speakers
•	Presence of distant/background speakers
•	Third person speaking from a far distance
•	Variations in speaker volume and clarity
Video / Audio Interaction Type:
•	Conversational dialogue
•	Multi-speaker interaction
•	Real-world noisy environment recording
Additional Acoustic Observations:
•	Background noise intensity level
•	Intermittent environmental disturbances
•	Reverberation / echo presence (if applicable)
•	Speech intelligibility under noisy conditions
</t>
  </si>
  <si>
    <t>English</t>
  </si>
  <si>
    <t>US English, UK English</t>
  </si>
  <si>
    <t xml:space="preserve">Number of speackers in </t>
  </si>
  <si>
    <t>Single_Channel</t>
  </si>
  <si>
    <t>16Khz</t>
  </si>
  <si>
    <t>WAV, MP3</t>
  </si>
  <si>
    <t>We need to create a mechanism to define noise level
No Noise (May be indoor) Podcast
Low
Medium
High</t>
  </si>
  <si>
    <t>Traffic
wind
crowd
siren
rain
vehicle engine
indoor echo
body movement
radio chatter
low-volume speech</t>
  </si>
  <si>
    <t>Yes or No</t>
  </si>
  <si>
    <t>Neutral, Conversational, Shouting, Crying</t>
  </si>
  <si>
    <t>Mobile Phoe, BWC, Studio Mice</t>
  </si>
  <si>
    <t>Yes</t>
  </si>
  <si>
    <t>Speaker Diarization + ASR Testing</t>
  </si>
  <si>
    <t>Vid_OD_001</t>
  </si>
  <si>
    <t>Cheap Shot</t>
  </si>
  <si>
    <t xml:space="preserve">YT </t>
  </si>
  <si>
    <t>https://www.youtube.com/watch?v=_6piL1TExWE&amp;pp=ygUuVGhhdCB3YXMgYSBiaXQgb2YgYSBjaGVhcCBzaG90IHdlcmVuJ3QgaXQgbWF0ZQ%3D%3D</t>
  </si>
  <si>
    <t>Outdoor</t>
  </si>
  <si>
    <t>UK English</t>
  </si>
  <si>
    <t>2m 55s</t>
  </si>
  <si>
    <t>wav</t>
  </si>
  <si>
    <t>high</t>
  </si>
  <si>
    <t>wind</t>
  </si>
  <si>
    <t>yes, overlap</t>
  </si>
  <si>
    <t>netrual, conversational, shouting</t>
  </si>
  <si>
    <t>bwc</t>
  </si>
  <si>
    <t>speaker diarization + asr</t>
  </si>
  <si>
    <t>Vid_OD_002</t>
  </si>
  <si>
    <t>Karen</t>
  </si>
  <si>
    <t>YT</t>
  </si>
  <si>
    <t>https://www.youtube.com/watch?v=Ym8xMOFkxMQ</t>
  </si>
  <si>
    <t xml:space="preserve">Outdoor 
Vehicle movement sounds
Car honking noise
Wind interference/noise
Overlapping speech between speakers
Real-world noisy environment recording
</t>
  </si>
  <si>
    <t>USEnglish</t>
  </si>
  <si>
    <t>17m 04 sec (tested till 7m05sec)</t>
  </si>
  <si>
    <t>Traffic, Honking, Wind</t>
  </si>
  <si>
    <t>yes, overlap (multiple instances)</t>
  </si>
  <si>
    <t>Angry, High voice</t>
  </si>
  <si>
    <t>Yes (till 7m 05 sec)</t>
  </si>
  <si>
    <t>Vid_OD_003</t>
  </si>
  <si>
    <t>Rich Karen Messes Around &amp; Finds Out</t>
  </si>
  <si>
    <t>https://www.youtube.com/watch?v=UalMMH8Bb4g&amp;list=PLSX5Ki474Krd5g3qcsp6uYRsZuNSVaMWV&amp;index=9</t>
  </si>
  <si>
    <r>
      <rPr>
        <b/>
        <sz val="11"/>
        <color theme="1"/>
        <rFont val="Calibri"/>
        <family val="2"/>
      </rPr>
      <t>Recording Environment:</t>
    </r>
    <r>
      <rPr>
        <sz val="11"/>
        <color theme="1"/>
        <rFont val="Calibri"/>
        <family val="2"/>
      </rPr>
      <t xml:space="preserve">
• Outdoor
• Police surrounded a car and conversation recorded outside a residential area
</t>
    </r>
    <r>
      <rPr>
        <b/>
        <sz val="11"/>
        <color theme="1"/>
        <rFont val="Calibri"/>
        <family val="2"/>
      </rPr>
      <t>Observed Environmental Conditions &amp; Background Noises:</t>
    </r>
    <r>
      <rPr>
        <sz val="11"/>
        <color theme="1"/>
        <rFont val="Calibri"/>
        <family val="2"/>
      </rPr>
      <t xml:space="preserve">
• Vehicle movement sounds
• Car honking noise
• Wind interference/noise
• Emergency siren sounds
• Dog barking in the background
• Clicking sound of a camera
• Shattering glass sound
</t>
    </r>
    <r>
      <rPr>
        <b/>
        <sz val="11"/>
        <color theme="1"/>
        <rFont val="Calibri"/>
        <family val="2"/>
      </rPr>
      <t>Speech Characteristics:</t>
    </r>
    <r>
      <rPr>
        <sz val="11"/>
        <color theme="1"/>
        <rFont val="Calibri"/>
        <family val="2"/>
      </rPr>
      <t xml:space="preserve">
• Overlapping speech between speakers - Yes
• Presence of distant/background speakers - Yes
• Third person speaking from a far distance - None
• Variations in speaker volume and clarity - Yes
</t>
    </r>
    <r>
      <rPr>
        <b/>
        <sz val="11"/>
        <color theme="1"/>
        <rFont val="Calibri"/>
        <family val="2"/>
      </rPr>
      <t>Video / Audio Interaction Type:</t>
    </r>
    <r>
      <rPr>
        <sz val="11"/>
        <color theme="1"/>
        <rFont val="Calibri"/>
        <family val="2"/>
      </rPr>
      <t xml:space="preserve">
• Real-world noisy environment recording
</t>
    </r>
    <r>
      <rPr>
        <b/>
        <sz val="11"/>
        <color theme="1"/>
        <rFont val="Calibri"/>
        <family val="2"/>
      </rPr>
      <t>Additional Acoustic Observations:</t>
    </r>
    <r>
      <rPr>
        <sz val="11"/>
        <color theme="1"/>
        <rFont val="Calibri"/>
        <family val="2"/>
      </rPr>
      <t xml:space="preserve">
• Background noise intensity level - Medium
• Intermittent environmental disturbances - Low
• Reverberation / echo presence (if applicable) - None
• Speech intelligibility under noisy conditions - Clear</t>
    </r>
  </si>
  <si>
    <t>US English</t>
  </si>
  <si>
    <t>Medium (Outdoor)</t>
  </si>
  <si>
    <t>Siren, Honking, Wind, Dog barking, Glass breaking, Camera clicking</t>
  </si>
  <si>
    <t>Shouting, Conversational</t>
  </si>
  <si>
    <t>Body-Worn Camera (BWC)</t>
  </si>
  <si>
    <t>Vid_OD_004</t>
  </si>
  <si>
    <t>Police bodycam shows arrest of Southwest Airlines pilot for alleged alcohol consumption</t>
  </si>
  <si>
    <t>https://www.youtube.com/watch?v=i1lMoJ8jaOQ&amp;list=PLSX5Ki474Krd5g3qcsp6uYRsZuNSVaMWV&amp;index=7</t>
  </si>
  <si>
    <t>Indoor (Inside a flight)</t>
  </si>
  <si>
    <r>
      <rPr>
        <b/>
        <sz val="11"/>
        <color theme="1"/>
        <rFont val="Aptos Narrow"/>
        <family val="2"/>
        <scheme val="minor"/>
      </rPr>
      <t>Recording Environment:</t>
    </r>
    <r>
      <rPr>
        <sz val="11"/>
        <color theme="1"/>
        <rFont val="Calibri"/>
        <family val="2"/>
        <scheme val="minor"/>
      </rPr>
      <t xml:space="preserve">
• Indoor (Inside a flight)
• Police investigated a drunken pilot and conversation recorded inside a flight cabin.
</t>
    </r>
    <r>
      <rPr>
        <b/>
        <sz val="11"/>
        <color theme="1"/>
        <rFont val="Aptos Narrow"/>
        <family val="2"/>
        <scheme val="minor"/>
      </rPr>
      <t>Observed Environmental Conditions &amp; Background Noises:</t>
    </r>
    <r>
      <rPr>
        <sz val="11"/>
        <color theme="1"/>
        <rFont val="Calibri"/>
        <family val="2"/>
        <scheme val="minor"/>
      </rPr>
      <t xml:space="preserve">
• Flight engine noise
• Wind interference/noise
• Handcuff noise
</t>
    </r>
    <r>
      <rPr>
        <b/>
        <sz val="11"/>
        <color theme="1"/>
        <rFont val="Aptos Narrow"/>
        <family val="2"/>
        <scheme val="minor"/>
      </rPr>
      <t>Speech Characteristics:</t>
    </r>
    <r>
      <rPr>
        <sz val="11"/>
        <color theme="1"/>
        <rFont val="Calibri"/>
        <family val="2"/>
        <scheme val="minor"/>
      </rPr>
      <t xml:space="preserve">
• Overlapping speech between speakers - Yes
• Presence of distant/background speakers - Yes
• Third person speaking from a far distance - None
• Variations in speaker volume and clarity - Yes
</t>
    </r>
    <r>
      <rPr>
        <b/>
        <sz val="11"/>
        <color theme="1"/>
        <rFont val="Aptos Narrow"/>
        <family val="2"/>
        <scheme val="minor"/>
      </rPr>
      <t>Video / Audio Interaction Type:</t>
    </r>
    <r>
      <rPr>
        <sz val="11"/>
        <color theme="1"/>
        <rFont val="Calibri"/>
        <family val="2"/>
        <scheme val="minor"/>
      </rPr>
      <t xml:space="preserve">
• Conversational dialogue
• Real-world noisy environment recording
</t>
    </r>
    <r>
      <rPr>
        <b/>
        <sz val="11"/>
        <color theme="1"/>
        <rFont val="Aptos Narrow"/>
        <family val="2"/>
        <scheme val="minor"/>
      </rPr>
      <t>Additional Acoustic Observations:</t>
    </r>
    <r>
      <rPr>
        <sz val="11"/>
        <color theme="1"/>
        <rFont val="Calibri"/>
        <family val="2"/>
        <scheme val="minor"/>
      </rPr>
      <t xml:space="preserve">
• Background noise intensity level - High
• Intermittent environmental disturbances - Medium
• Reverberation / echo presence (if applicable) - None
• Speech intelligibility under noisy conditions - Medium</t>
    </r>
  </si>
  <si>
    <t>High (Indoor- Inside a flight)</t>
  </si>
  <si>
    <t>Flight engine noise, Wind, Handcuff noise</t>
  </si>
  <si>
    <t>Conversational</t>
  </si>
  <si>
    <t>Vid_OD_005</t>
  </si>
  <si>
    <t>Drunk Karen Gets a Huge Reality Check</t>
  </si>
  <si>
    <t>https://www.youtube.com/watch?v=GbJEdFb81ZE&amp;list=PLSX5Ki474Krd5g3qcsp6uYRsZuNSVaMWV&amp;index=11</t>
  </si>
  <si>
    <t>Outdoor and Indoor</t>
  </si>
  <si>
    <r>
      <rPr>
        <b/>
        <sz val="11"/>
        <color theme="1"/>
        <rFont val="Aptos Narrow"/>
        <family val="2"/>
        <scheme val="minor"/>
      </rPr>
      <t>Recording Environment:</t>
    </r>
    <r>
      <rPr>
        <sz val="11"/>
        <color theme="1"/>
        <rFont val="Calibri"/>
        <family val="2"/>
        <scheme val="minor"/>
      </rPr>
      <t xml:space="preserve">
• Outdoor (Parking lot and store)
• Police investigated a drunken lady and conversation recorded in a Parking lot.
• Another one Police arrested a lady for trespassing in store and conversation recorded in that store.
</t>
    </r>
    <r>
      <rPr>
        <b/>
        <sz val="11"/>
        <color theme="1"/>
        <rFont val="Aptos Narrow"/>
        <family val="2"/>
        <scheme val="minor"/>
      </rPr>
      <t>Observed Environmental Conditions &amp; Background Noises:</t>
    </r>
    <r>
      <rPr>
        <sz val="11"/>
        <color theme="1"/>
        <rFont val="Calibri"/>
        <family val="2"/>
        <scheme val="minor"/>
      </rPr>
      <t xml:space="preserve">
• Clicking sound of a camera
• Emergency siren sounds
• Wind interference/noise
• Car door closing sound
• Handbag zipper sound
• Handcuff noise
• Phone ringing
</t>
    </r>
    <r>
      <rPr>
        <b/>
        <sz val="11"/>
        <color theme="1"/>
        <rFont val="Aptos Narrow"/>
        <family val="2"/>
        <scheme val="minor"/>
      </rPr>
      <t>Speech Characteristics:</t>
    </r>
    <r>
      <rPr>
        <sz val="11"/>
        <color theme="1"/>
        <rFont val="Calibri"/>
        <family val="2"/>
        <scheme val="minor"/>
      </rPr>
      <t xml:space="preserve">
• Overlapping speech between speakers - Yes
• Presence of distant/background speakers - Yes
• Third person speaking from a far distance - Yes
• Variations in speaker volume and clarity - Yes
</t>
    </r>
    <r>
      <rPr>
        <b/>
        <sz val="11"/>
        <color theme="1"/>
        <rFont val="Aptos Narrow"/>
        <family val="2"/>
        <scheme val="minor"/>
      </rPr>
      <t>Video / Audio Interaction Type:</t>
    </r>
    <r>
      <rPr>
        <sz val="11"/>
        <color theme="1"/>
        <rFont val="Calibri"/>
        <family val="2"/>
        <scheme val="minor"/>
      </rPr>
      <t xml:space="preserve">
• Multi-speaker interaction
• Conversational dialogue
• Real-world noisy environment recording
</t>
    </r>
    <r>
      <rPr>
        <b/>
        <sz val="11"/>
        <color theme="1"/>
        <rFont val="Aptos Narrow"/>
        <family val="2"/>
        <scheme val="minor"/>
      </rPr>
      <t>Additional Acoustic Observations:</t>
    </r>
    <r>
      <rPr>
        <sz val="11"/>
        <color theme="1"/>
        <rFont val="Calibri"/>
        <family val="2"/>
        <scheme val="minor"/>
      </rPr>
      <t xml:space="preserve">
• Background noise intensity level - Low
• Intermittent environmental disturbances - Low
• Reverberation / echo presence (if applicable) - None
• Speech intelligibility under noisy conditions - Medium</t>
    </r>
  </si>
  <si>
    <t>Medium (Outdoor - Parking lot and store)</t>
  </si>
  <si>
    <t>Siren, Wind, Handcuff noise, Car door closing sound, Camera clicking, Handbag zipper sound, Handcuff noise</t>
  </si>
  <si>
    <t>Shouting, Conversational, Crying</t>
  </si>
  <si>
    <t>Vid_OD_006</t>
  </si>
  <si>
    <t>When an Entitled Girl Gets Instantly Humbled</t>
  </si>
  <si>
    <t>Your self-discovery companion</t>
  </si>
  <si>
    <t xml:space="preserve">Example Scenario: Poolside misbehavior by a group resulted in a girl’s arrest.                                                  First half of the video is very noisy,  It's a outdoor Pool Area,                                                                                  Background Noises: Crowd babble,   Wind inference ,                                                                                  Speech Charecteristics: Overlapping between Speakers, Variations in Speaker volume and clarity.   </t>
  </si>
  <si>
    <t>Approx 11</t>
  </si>
  <si>
    <t>High</t>
  </si>
  <si>
    <t>Wind, Public Chatter</t>
  </si>
  <si>
    <t>Shouting, Crying, Ordering</t>
  </si>
  <si>
    <t>BWC</t>
  </si>
  <si>
    <t>Vid_OD_007</t>
  </si>
  <si>
    <t>Bodycam footage show arrests of Sara Sharif's alleged killers</t>
  </si>
  <si>
    <t>Hybrid</t>
  </si>
  <si>
    <t xml:space="preserve">Example Scenario:Police arrested a man on a plane in connection with the murder of Sara Sharif..                          Little bit noisy,  It's a Inside aeroplane (Hybrid)                                                                                                                                      Background Noises: Crowd babble,                                                                                                                                                   Speech Charecteristics: Overlapping between Speakers, Variations in Speaker volume and clarity.   </t>
  </si>
  <si>
    <t>Medium</t>
  </si>
  <si>
    <t>Public Chatter</t>
  </si>
  <si>
    <t>Ordering</t>
  </si>
  <si>
    <t>Vid_OD_008</t>
  </si>
  <si>
    <t>Good Morning Britain video</t>
  </si>
  <si>
    <t>Piers Confronts Tommy Robinson Over Controversial Muslim Comments | Good Morning Britain</t>
  </si>
  <si>
    <t>Indoor</t>
  </si>
  <si>
    <t>Example Scenario:   Converstational Debate                                                                                                           Not Much Noisy                                                                                                                                                                              Indoor ,                                                                                                                                                                                                                            Speech Charaecteristics : Overlapping between Speaker's</t>
  </si>
  <si>
    <t>Low</t>
  </si>
  <si>
    <t>Overlapping Speech</t>
  </si>
  <si>
    <t>Studio Mic</t>
  </si>
  <si>
    <t>Vid_OD_009</t>
  </si>
  <si>
    <t>UK Parliament Debate</t>
  </si>
  <si>
    <t>https://www.youtube.com/watch?v=zhO3d7SEaRg&amp;list=PLSX5Ki474Krd5g3qcsp6uYRsZuNSVaMWV&amp;index=1</t>
  </si>
  <si>
    <t xml:space="preserve">Indoor  </t>
  </si>
  <si>
    <t>Yes (less instances)</t>
  </si>
  <si>
    <t>Professional MIc</t>
  </si>
  <si>
    <t>Vid_OD_010</t>
  </si>
  <si>
    <t>Dennis Skinner Kicked Out</t>
  </si>
  <si>
    <t>https://www.youtube.com/watch?v=qvIUa47x_Oc&amp;list=PLSX5Ki474Krd5g3qcsp6uYRsZuNSVaMWV&amp;index=4</t>
  </si>
  <si>
    <t>Yes (many instances)</t>
  </si>
  <si>
    <t>Conversational, Angry</t>
  </si>
  <si>
    <t>Vid_OD_011</t>
  </si>
  <si>
    <t>Entitled Karen Refuses to Pay Restaurant Bill</t>
  </si>
  <si>
    <t>https://www.youtube.com/watch?v=0KFqZ4hP9nU&amp;list=PLSX5Ki474Krd5g3qcsp6uYRsZuNSVaMWV&amp;index=8</t>
  </si>
  <si>
    <t>High (Outdoor)</t>
  </si>
  <si>
    <t>Vid_OD_012</t>
  </si>
  <si>
    <t>Karen Has A Problem With Disabled Parking</t>
  </si>
  <si>
    <t>https://www.youtube.com/watch?v=XwL3iEGbhf8&amp;list=PLSX5Ki474Krd5g3qcsp6uYRsZuNSVaMWV&amp;index=10</t>
  </si>
  <si>
    <t>Wind</t>
  </si>
  <si>
    <t>Phone Camera</t>
  </si>
  <si>
    <t>Vid_OD_013</t>
  </si>
  <si>
    <t>Woman's Attitude Makes Traffic Stop 10x Worse</t>
  </si>
  <si>
    <t>https://www.youtube.com/watch?v=v4zmJ6WUdIE&amp;list=PLSX5Ki474Krd5g3qcsp6uYRsZuNSVaMWV&amp;index=13</t>
  </si>
  <si>
    <t>Traffic,  Rumble</t>
  </si>
  <si>
    <t>Angry, High Voice, Shouting, Crying</t>
  </si>
  <si>
    <t>Dataset_ID</t>
  </si>
  <si>
    <t>Dataset_Name</t>
  </si>
  <si>
    <t>Video_Data_Details</t>
  </si>
  <si>
    <t>Dataset_Location_Link</t>
  </si>
  <si>
    <t>Data_Type (Indoor/Outdoor)</t>
  </si>
  <si>
    <t>Noise_Level</t>
  </si>
  <si>
    <t>DS_001</t>
  </si>
  <si>
    <t>Outdoor Data
Indoor Data</t>
  </si>
  <si>
    <t>Vid_Id_001, Vid_Od_001</t>
  </si>
  <si>
    <t>Drive data, link</t>
  </si>
  <si>
    <t>Indoor,Outdoor, Mix</t>
  </si>
  <si>
    <t>US English, UK English Etc</t>
  </si>
  <si>
    <t>Low, Medium, High, Clean</t>
  </si>
  <si>
    <t>outdoor</t>
  </si>
  <si>
    <t>vid_od_001</t>
  </si>
  <si>
    <t>outdoor environment</t>
  </si>
  <si>
    <t>englush</t>
  </si>
  <si>
    <t xml:space="preserve">uk english </t>
  </si>
  <si>
    <t>single</t>
  </si>
  <si>
    <t>16 khz wav</t>
  </si>
  <si>
    <t>yes</t>
  </si>
  <si>
    <t>conversational + shouting</t>
  </si>
  <si>
    <t>DS_002</t>
  </si>
  <si>
    <t>VID_OD_002</t>
  </si>
  <si>
    <t>YT playlist (https://www.youtube.com/playlist?list=PLSX5Ki474Krd5g3qcsp6uYRsZuNSVaMWV)</t>
  </si>
  <si>
    <t>Outdoor 
Vehicle movement sounds
Car honking noise
Wind interference/noise
Overlapping speech between speakers
Real-world noisy environment recording</t>
  </si>
  <si>
    <t>DS_003</t>
  </si>
  <si>
    <t>MS-SNSD</t>
  </si>
  <si>
    <t>https://github.com/microsoft/MS-SNSD/tree/master</t>
  </si>
  <si>
    <t>Mix: indoor + outdoor + synthetic mixtures</t>
  </si>
  <si>
    <t>Clean speech mixed with noise types such as air  conditioner, traffic, cafe, car, metro, typing, vacuum  cleaner, door sounds, hallway, office, park,restaurant, babble</t>
  </si>
  <si>
    <t>Mostly English clean speech, but noise files may contain non-target speech-like background sounds</t>
  </si>
  <si>
    <t>Not reliably labeled; likely mixed English accents depending on source speech</t>
  </si>
  <si>
    <t>Single-channel in our processed files</t>
  </si>
  <si>
    <t>WAV, PCM16</t>
  </si>
  <si>
    <t>Controlled: clean, 20 dB, 10 dB, 5 dB, 0 dB, -5 dB SNR. Noise-only phase has natural variable noise levels</t>
  </si>
  <si>
    <t>Air conditioner, airport announcement, babble, bus, cafe, car, copy machine, hallway, metro, munching, office, park, restaurant, typing, traffic, vacuum cleaner, washer/dryer, etc.</t>
  </si>
  <si>
    <t>Not deliberately in synthetic speech mixtures. Some noise categories contain background speech, such as babble, cafe, restaurant, neighbor speaking</t>
  </si>
  <si>
    <t>Not labeled; clean speech is likely neutral/read speech</t>
  </si>
  <si>
    <t>Dataset audio, studio/public-source speech, synthetic mixing. Not BWC/mobile-phone specific</t>
  </si>
  <si>
    <t>Controlled VAD false-positive testing and noisy-speech recall testing</t>
  </si>
  <si>
    <t>DS_004</t>
  </si>
  <si>
    <t xml:space="preserve">AVA-Speech </t>
  </si>
  <si>
    <t>https://sites.research.google/gr/ava/download/#ava_speech_download</t>
  </si>
  <si>
    <t>Mix: indoor + outdoor + movie/video scenes</t>
  </si>
  <si>
    <t>Real-world video/movie scenes with NO_SPEECH, CLEAN_SPEECH, SPEECH_WITH_MUSIC, SPEECH_WITH_NOISE labels</t>
  </si>
  <si>
    <t>Mostly English in the tested AVA pilot, but language is not the main controlled variable</t>
  </si>
  <si>
    <t>Not reliably labeled; likely mixed US/UK/other accents from video content</t>
  </si>
  <si>
    <t>Original videos may vary, but our extracted evaluation audio is single-channel</t>
  </si>
  <si>
    <t>Extracted to 16 kHz for testing</t>
  </si>
  <si>
    <t>Source videos were MKV; extracted evaluation audio is WAV, PCM16</t>
  </si>
  <si>
    <t>Not calibrated by dB. Labels indicate condition: clean speech, speech with music, speech with noise, no speech</t>
  </si>
  <si>
    <t>Music, crowd/background noise, environmental scene noise, movie/video background sound</t>
  </si>
  <si>
    <t>Possible, but overlap is not separately labeled in our AVA VAD setup</t>
  </si>
  <si>
    <t xml:space="preserve"> Possible because it comes from real video scenes, but emotion is not labeled</t>
  </si>
  <si>
    <t>Video/movie production audio or online video source. Not BWC-specific</t>
  </si>
  <si>
    <t>Stronger real-world VAD benchmark for speech/no-speech behavior under noise/music</t>
  </si>
  <si>
    <t>Exp_ID</t>
  </si>
  <si>
    <t>Dataset_ID/Video_ID</t>
  </si>
  <si>
    <t>Preprocessing_Applied (Y/N)</t>
  </si>
  <si>
    <t>Noise_Reduction_Method</t>
  </si>
  <si>
    <t>SNR_Before</t>
  </si>
  <si>
    <t>SNR_After</t>
  </si>
  <si>
    <t>Normalization_Applied</t>
  </si>
  <si>
    <t>Silence_Removal(Yes/No)</t>
  </si>
  <si>
    <t>Voice_Activity_Detection (VAD)</t>
  </si>
  <si>
    <t>Echo_Cancellation</t>
  </si>
  <si>
    <t>Dereverberation</t>
  </si>
  <si>
    <t>Audio_Segmentation</t>
  </si>
  <si>
    <t>Chunk_Size_Seconds</t>
  </si>
  <si>
    <t>Sample_Rate_Conversion</t>
  </si>
  <si>
    <t>Channel_Conversion</t>
  </si>
  <si>
    <t>Augmentation_Techniques</t>
  </si>
  <si>
    <t>Filtering_Type</t>
  </si>
  <si>
    <t>Preprocessing_Tool/Library</t>
  </si>
  <si>
    <t>Preprocessing_Notes</t>
  </si>
  <si>
    <t>EXP_001</t>
  </si>
  <si>
    <t>DS_001, Vid_ID_001</t>
  </si>
  <si>
    <t>Spectral Subtraction</t>
  </si>
  <si>
    <t>8dB</t>
  </si>
  <si>
    <t>18dB</t>
  </si>
  <si>
    <t>Peak Normalization</t>
  </si>
  <si>
    <t>WebRTC VAD</t>
  </si>
  <si>
    <t>Enabled, Disabled</t>
  </si>
  <si>
    <t>Mild</t>
  </si>
  <si>
    <t>Speaker-based Segmentation, Fixed Segments</t>
  </si>
  <si>
    <t>48 kHz - 16 kHz</t>
  </si>
  <si>
    <t>N/A, Stereo to Mono</t>
  </si>
  <si>
    <t>Noise Injection, Speed Perturbation</t>
  </si>
  <si>
    <t>Bandpass Filter</t>
  </si>
  <si>
    <t>Librosa + PyDub</t>
  </si>
  <si>
    <t>Traffic noise reduced before ASR processing</t>
  </si>
  <si>
    <t>exp_001</t>
  </si>
  <si>
    <t>vid_id_001</t>
  </si>
  <si>
    <t>loudness normalisation</t>
  </si>
  <si>
    <t>silero-vad</t>
  </si>
  <si>
    <t>diasbled</t>
  </si>
  <si>
    <t>none</t>
  </si>
  <si>
    <t>silero-speech based probability grounded segments</t>
  </si>
  <si>
    <t>&lt; 30</t>
  </si>
  <si>
    <t xml:space="preserve">16 khz </t>
  </si>
  <si>
    <t>mono</t>
  </si>
  <si>
    <t>no change in snr, means that the noise is so deeply mixed with human speecha dn the snr is low such that, if we remove the noise, we remove the speech as well</t>
  </si>
  <si>
    <t>exp_002</t>
  </si>
  <si>
    <t>ds_001/ vid_id_001</t>
  </si>
  <si>
    <t>the results were worse than only normalization</t>
  </si>
  <si>
    <t>Exp_003</t>
  </si>
  <si>
    <t>DS_001/Vid_OD_001</t>
  </si>
  <si>
    <t>band-pass filtering + light gain</t>
  </si>
  <si>
    <t>Light gain applied by preprocessing profile</t>
  </si>
  <si>
    <t>No standalone silence removal</t>
  </si>
  <si>
    <t>vad_multilingual_marblenet</t>
  </si>
  <si>
    <t>Disabled</t>
  </si>
  <si>
    <t>None</t>
  </si>
  <si>
    <t>Diarization + VAD-refined speaker segments</t>
  </si>
  <si>
    <t>Variable diarization turns</t>
  </si>
  <si>
    <t>44100 Hz -&gt; 16000 Hz</t>
  </si>
  <si>
    <t>2 channels -&gt; 1 channel</t>
  </si>
  <si>
    <t>band-pass filter</t>
  </si>
  <si>
    <t>ffmpeg + scipy + NeMo VAD</t>
  </si>
  <si>
    <t>SNR values are VAD-estimated speech/non-speech power ratios, not clean-reference SNR. VAD threshold=0.5; min_speech=0.3; min_silence=0.2; speech_ratio=0.7564.</t>
  </si>
  <si>
    <t>Exp_004</t>
  </si>
  <si>
    <t>Exp_005</t>
  </si>
  <si>
    <t>Deepfilternet</t>
  </si>
  <si>
    <t>Exp_006</t>
  </si>
  <si>
    <t>Exp_007</t>
  </si>
  <si>
    <t>DS_002/ VID_002</t>
  </si>
  <si>
    <t>Exp_008</t>
  </si>
  <si>
    <t>Exp_009</t>
  </si>
  <si>
    <t>no</t>
  </si>
  <si>
    <t>Pyannote VAD</t>
  </si>
  <si>
    <t>VAD-refined speaker segments</t>
  </si>
  <si>
    <t>MS-SNSD Noise-Only
Threshold	Strict false-positive ratio	Files triggered
0.3	4.999%	18
0.4	4.503%	16
0.5	4.100%	14
0.6	3.765%	13
0.7	3.381%	13</t>
  </si>
  <si>
    <t>Exp_010</t>
  </si>
  <si>
    <t>MS-SNSD Noisy Speech
Threshold	Clean	20 dB	10 dB	5 dB	0 dB	-5 dB
0.5	99.98%	99.98%	99.98%	99.98%	99.99%	99.45%</t>
  </si>
  <si>
    <t>Exp_011</t>
  </si>
  <si>
    <t>AVA-Speech Raw
Threshold	F1	No-speech false alarm	Noisy-speech recall
0.3	0.867	12.05%	83.17%
0.4	0.866	11.43%	82.54%
0.5	0.866	10.86%	82.05%
0.6	0.865	10.32%	81.66%
0.7	0.865	9.64%	81.18%</t>
  </si>
  <si>
    <t>Exp_012</t>
  </si>
  <si>
    <t xml:space="preserve">0.3	0.860	13.34%	83.12%
0.4	0.861	12.64%	82.79%
0.5	0.861	12.13%	82.52%
0.6	0.860	11.60%	81.98%
0.7	0.860	10.96%	81.46%
 </t>
  </si>
  <si>
    <t>Exp_013</t>
  </si>
  <si>
    <t>MS-SNSD Noise-Only Test
179 files totaling 3.949 hours were tested. A strict 119-file subset excluded categories known to contain speech.
Configuration	Threshold	Strict false-positive ratio
Balanced	0.5	3.911%
Moderate	0.6	3.116%
Conservative	0.7	2.374%</t>
  </si>
  <si>
    <t>Exp_014</t>
  </si>
  <si>
    <t>MS-SNSD Controlled Noisy Speech
200 clean utterances were mixed at 20, 10, 5, 0, and -5 dB, producing 1,200 entries and 3.941 hours. Labels were energy-derived proxies rather than human annotations.
Configuration	Clean	20 dB	10 dB	5 dB	0 dB	-5 dB
Balanced	98.9%	97.4%	88.1%	73.5%	55.8%	42.2%
Moderate	98.4%	96.5%	84.9%	70.2%	52.6%	39.7%
Conservative	97.8%	95.0%	81.8%	66.3%	49.1%	37.2%</t>
  </si>
  <si>
    <t>Exp_015</t>
  </si>
  <si>
    <t>AVA-Speech 
Three official videos provided 45 minutes of dense human-labeled audio, including 1,278.63 seconds of non-speech and 1,217.82 seconds of speech with noise.
Threshold	Overall F1	False-alarm rate	Clean recall	Music recall	Noisy recall
0.3	0.720	6.78%	88.7%	73.8%	56.5%
0.4	0.701	6.03%	86.9%	69.5%	53.8%
0.5	0.683	5.37%	82.4%	66.5%	51.5%
0.6	0.661	4.76%	78.4%	62.6%	48.8%
0.7	0.636	4.15%	76.3%	58.0%	45.8%
Significance: At threshold 0.5, MarbleNet missed nearly half of realistic speech-with-noise frames. This is the strongest evidence of a real-world domain gap.</t>
  </si>
  <si>
    <t>Exp_016</t>
  </si>
  <si>
    <t>`</t>
  </si>
  <si>
    <t>DeepFilterNet3 Comparison
Threshold	Raw false alarm	Denoised false alarm	Raw noisy recall	Denoised noisy recall
0.3	6.78%	27.57%	56.49%	86.89%
0.4	6.03%	25.01%	53.84%	85.89%
0.5	5.37%	23.63%	51.54%	84.87%
0.6	4.76%	21.87%	48.83%	83.75%
0.7	4.15%	20.20%	45.84%	82.07%</t>
  </si>
  <si>
    <t>DIR_Used (Y/N)</t>
  </si>
  <si>
    <t>DIR_Model_Name</t>
  </si>
  <si>
    <t>DIR_Provider</t>
  </si>
  <si>
    <t>DIR_Model_Version</t>
  </si>
  <si>
    <t>DER</t>
  </si>
  <si>
    <t>Precision</t>
  </si>
  <si>
    <t>Recall</t>
  </si>
  <si>
    <t>F1_Score</t>
  </si>
  <si>
    <t>Latency</t>
  </si>
  <si>
    <t>Processing_Time</t>
  </si>
  <si>
    <t>Error_Analysis_Summary</t>
  </si>
  <si>
    <t>Final_Remarks</t>
  </si>
  <si>
    <t>Comments</t>
  </si>
  <si>
    <t>pyannote</t>
  </si>
  <si>
    <t>the confusion rate is only 0.069, but high miss and FA rate</t>
  </si>
  <si>
    <t>best till now</t>
  </si>
  <si>
    <t>EXP_002</t>
  </si>
  <si>
    <t>every factor increased by a lot</t>
  </si>
  <si>
    <t>not useful</t>
  </si>
  <si>
    <t>Pyannote</t>
  </si>
  <si>
    <t>pyannote.audio / Hugging Face</t>
  </si>
  <si>
    <t>3.1</t>
  </si>
  <si>
    <t>Sortformer</t>
  </si>
  <si>
    <t>NVIDIA NeMo</t>
  </si>
  <si>
    <t>v2.1 local</t>
  </si>
  <si>
    <t>Yes (DS_001, Vid_OD_001)</t>
  </si>
  <si>
    <t>Yes (DS_002, VID_OD_002)</t>
  </si>
  <si>
    <t>success</t>
  </si>
  <si>
    <t>cheap_shot | deepfilternet_3</t>
  </si>
  <si>
    <t>Y</t>
  </si>
  <si>
    <t>pyannote/speaker-diarization</t>
  </si>
  <si>
    <t>Sortformer diarization local NeMo model</t>
  </si>
  <si>
    <t>ASR_Used (Y/N)</t>
  </si>
  <si>
    <t>ASR_Model_Name</t>
  </si>
  <si>
    <t>ASR_Provider</t>
  </si>
  <si>
    <t>ASR_Model_Version</t>
  </si>
  <si>
    <t>WER</t>
  </si>
  <si>
    <t>Substitution</t>
  </si>
  <si>
    <t>Deletions</t>
  </si>
  <si>
    <t>Insertions</t>
  </si>
  <si>
    <t>Ref words</t>
  </si>
  <si>
    <t>Faster-Whisper large-v3</t>
  </si>
  <si>
    <t>open source</t>
  </si>
  <si>
    <t>Good results, only 50 deletions, but high substitution</t>
  </si>
  <si>
    <t>high substituion maybe because of accent, and transient noise</t>
  </si>
  <si>
    <t>dS_001, Vid_ID_001</t>
  </si>
  <si>
    <t>faster-Whisper large-v3</t>
  </si>
  <si>
    <t>Worse results, deletion and substituion increased a lot</t>
  </si>
  <si>
    <t>not suitable</t>
  </si>
  <si>
    <t>Parakeet 0.6B local</t>
  </si>
  <si>
    <t>NVIDIA NeMo local</t>
  </si>
  <si>
    <t>multitalker-parakeet-streaming-0.6b-v1.nemo</t>
  </si>
  <si>
    <t>Edit counts calculated from transcript.json vs ground truth: substitutions=93, deletions=114, insertions=18.</t>
  </si>
  <si>
    <t>Pipeline: pyannote_3_1__parakeet_0_6b_local</t>
  </si>
  <si>
    <t>Edit counts calculated from transcript.json vs ground truth: substitutions=91, deletions=117, insertions=28.</t>
  </si>
  <si>
    <t>Pipeline: sortformer_v2_1_local__parakeet_0_6b_local</t>
  </si>
  <si>
    <t>Yes (DS_002, Vid_OD_002)</t>
  </si>
  <si>
    <t>Speech_to_Text_Module</t>
  </si>
  <si>
    <t>STT_Framework/Provider</t>
  </si>
  <si>
    <t>Language_Model_Used</t>
  </si>
  <si>
    <t>Diarization_Used (Y/N)</t>
  </si>
  <si>
    <t>Diarization_Model_Name</t>
  </si>
  <si>
    <t>Diarization_Framework</t>
  </si>
  <si>
    <t>Speaker_Embedding_Model</t>
  </si>
  <si>
    <t>Real_Time_or_Batch</t>
  </si>
  <si>
    <t>Inference_Hardware</t>
  </si>
  <si>
    <t>GPU/CPU_Details</t>
  </si>
  <si>
    <t>Latency_ms</t>
  </si>
  <si>
    <t>Pipeline_Orchestration_Type</t>
  </si>
  <si>
    <t>Additional_Processing_Modules</t>
  </si>
  <si>
    <t>Category</t>
  </si>
  <si>
    <t>Example Values</t>
  </si>
  <si>
    <t>Dataset Type</t>
  </si>
  <si>
    <t>Indoor, Outdoor, Hybrid</t>
  </si>
  <si>
    <t>Noise Types</t>
  </si>
  <si>
    <t>Traffic, Crowd, Wind, Music, TV, Office</t>
  </si>
  <si>
    <t>ASR Providers</t>
  </si>
  <si>
    <t>OpenAI Whisper, Google STT, Azure STT, AWS Transcribe</t>
  </si>
  <si>
    <t>Diarization Frameworks</t>
  </si>
  <si>
    <t>Pyannote, NVIDIA NeMo, Resemblyzer</t>
  </si>
  <si>
    <t>Preprocessing Methods</t>
  </si>
  <si>
    <t>Noise Reduction, VAD, Silence Removal, Augmentation</t>
  </si>
  <si>
    <t>Evaluation Metrics</t>
  </si>
  <si>
    <t>WER, DER, CER, F1-Score, Precision, Recall</t>
  </si>
  <si>
    <t>Observation</t>
  </si>
  <si>
    <t>ASR</t>
  </si>
  <si>
    <t>Metris</t>
  </si>
  <si>
    <t>far speech</t>
  </si>
  <si>
    <t>Overlapping sp</t>
  </si>
  <si>
    <t>Pre-Processing</t>
  </si>
  <si>
    <t>VAD</t>
  </si>
  <si>
    <t>STT</t>
  </si>
  <si>
    <t>DIR</t>
  </si>
  <si>
    <t>Pipeline</t>
  </si>
  <si>
    <t>Ref Words</t>
  </si>
  <si>
    <t>Subs</t>
  </si>
  <si>
    <t>Del</t>
  </si>
  <si>
    <t>Insert</t>
  </si>
  <si>
    <t>Actual Spk</t>
  </si>
  <si>
    <t>Identified</t>
  </si>
  <si>
    <t>MIss Rate</t>
  </si>
  <si>
    <t>FA rate</t>
  </si>
  <si>
    <t>Confusion</t>
  </si>
  <si>
    <t>Exp_001</t>
  </si>
  <si>
    <t>PP -&gt; VAD -&gt;PP_VAD -&gt; DIR -&gt; PP_DIR - &gt; STT - &gt; PP_ASR -&gt; Alignment - &gt; Orchestration</t>
  </si>
  <si>
    <t>Exp_002</t>
  </si>
  <si>
    <t>normalization and bandpass filtering</t>
  </si>
  <si>
    <t>PP-&gt;VAD (Marblenet) -&gt; DIR (Pyannote) -&gt; VAD + DIR Refinement -&gt; ASR (Parakeet 0.6B local)</t>
  </si>
  <si>
    <t>Band-pass filtering + light gain</t>
  </si>
  <si>
    <t>PP-&gt;VAD (Marblenet) -&gt; DIR (Softformer) -&gt; VAD + DIR Refinement -&gt; ASR (Parakeet 0.6B local)</t>
  </si>
  <si>
    <t>High-pass filtering + band-pass filtering + light gain</t>
  </si>
  <si>
    <t>deepfilternet_3__pyannote_vad__sortformer_v2_1_local__parakeet_0_6b_local</t>
  </si>
  <si>
    <t>DeepFilterNet</t>
  </si>
  <si>
    <t>EXP_014</t>
  </si>
  <si>
    <t>deepfilternet_3_marblenetVAD_sortformer_v2_1_local__parakeet_0_6b_local</t>
  </si>
  <si>
    <t>EXP_015</t>
  </si>
  <si>
    <t>EXP_016</t>
  </si>
  <si>
    <t>EXP_017</t>
  </si>
  <si>
    <t>EXP_018</t>
  </si>
  <si>
    <t>EXP_019</t>
  </si>
  <si>
    <t>EXP_020</t>
  </si>
  <si>
    <t>EXP_021</t>
  </si>
  <si>
    <t>EXP_022</t>
  </si>
  <si>
    <t>Case_ID</t>
  </si>
  <si>
    <t>Ref Speech Seconds</t>
  </si>
  <si>
    <t>Pred Speech Seconds</t>
  </si>
  <si>
    <t>True Positive Seconds</t>
  </si>
  <si>
    <t>False Positive Seconds</t>
  </si>
  <si>
    <t>False Negative Seconds</t>
  </si>
  <si>
    <t>True Negative Seconds</t>
  </si>
  <si>
    <t>F1</t>
  </si>
  <si>
    <t>F2</t>
  </si>
  <si>
    <t>False Positive Rate</t>
  </si>
  <si>
    <t>False Discovery Rate</t>
  </si>
  <si>
    <t>EXP_005</t>
  </si>
  <si>
    <t>cheap_shot</t>
  </si>
  <si>
    <t>EXP_006</t>
  </si>
  <si>
    <t>karen_traffic_stop</t>
  </si>
  <si>
    <t>EXP_007</t>
  </si>
  <si>
    <t>rich_karen_messes_around</t>
  </si>
  <si>
    <t>EXP_008</t>
  </si>
  <si>
    <t>drunk_karen_reality_check</t>
  </si>
  <si>
    <t>EXP_009</t>
  </si>
  <si>
    <t>entitled_girl_humbled</t>
  </si>
  <si>
    <t>EXP_010</t>
  </si>
  <si>
    <t>good_morning_britain_tommy_robinson</t>
  </si>
  <si>
    <t>EXP_011</t>
  </si>
  <si>
    <t>uk_parliament_debate</t>
  </si>
  <si>
    <t>EXP_012</t>
  </si>
  <si>
    <t>dennis_skinner_kicked_out</t>
  </si>
  <si>
    <t>EXP_013</t>
  </si>
  <si>
    <t>traffic_stop_10x_worse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</si>
</sst>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b/>
      <sz val="10"/>
      <name val="Calibri"/>
      <family val="2"/>
    </font>
    <font>
      <sz val="10"/>
      <color theme="1"/>
      <name val="Calibri"/>
      <family val="2"/>
      <scheme val="minor"/>
    </font>
    <font>
      <u/>
      <sz val="11"/>
      <color theme="10"/>
      <name val="Calibri"/>
      <family val="2"/>
      <scheme val="minor"/>
    </font>
    <font>
      <sz val="11"/>
      <color rgb="FF000000"/>
      <name val="Aptos Narrow"/>
      <family val="2"/>
    </font>
    <font>
      <b/>
      <sz val="10"/>
      <color theme="1"/>
      <name val="Calibri"/>
      <family val="2"/>
      <scheme val="minor"/>
    </font>
    <font>
      <sz val="11"/>
      <color theme="1"/>
      <name val="Calibri"/>
      <family val="2"/>
    </font>
    <font>
      <u/>
      <sz val="11"/>
      <color theme="10"/>
      <name val="Calibri"/>
      <family val="2"/>
    </font>
    <font>
      <b/>
      <sz val="11"/>
      <color theme="1"/>
      <name val="Calibri"/>
      <family val="2"/>
    </font>
    <font>
      <b/>
      <sz val="11"/>
      <color theme="1"/>
      <name val="Aptos Narrow"/>
      <family val="2"/>
      <scheme val="minor"/>
    </font>
    <font>
      <sz val="11"/>
      <color rgb="FF000000"/>
      <name val="Calibri"/>
      <charset val="1"/>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9">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center"/>
    </xf>
    <xf numFmtId="0" fontId="0" fillId="0" borderId="0" xfId="0" applyAlignment="1">
      <alignment horizontal="center" vertical="top"/>
    </xf>
    <xf numFmtId="0" fontId="3" fillId="0" borderId="0" xfId="0" applyFont="1" applyAlignment="1">
      <alignment horizontal="center"/>
    </xf>
    <xf numFmtId="0" fontId="1" fillId="0" borderId="0" xfId="0" applyFont="1" applyAlignment="1">
      <alignment horizontal="center"/>
    </xf>
    <xf numFmtId="0" fontId="6" fillId="0" borderId="0" xfId="0" applyFont="1"/>
    <xf numFmtId="0" fontId="5" fillId="0" borderId="0" xfId="1" applyAlignment="1">
      <alignment vertical="top"/>
    </xf>
    <xf numFmtId="0" fontId="2" fillId="0" borderId="0" xfId="0" applyFont="1" applyAlignment="1">
      <alignment horizontal="center"/>
    </xf>
    <xf numFmtId="0" fontId="6" fillId="0" borderId="0" xfId="0" applyFont="1" applyAlignment="1">
      <alignment horizontal="center"/>
    </xf>
    <xf numFmtId="0" fontId="0" fillId="0" borderId="0" xfId="0" applyAlignment="1">
      <alignment horizontal="left"/>
    </xf>
    <xf numFmtId="0" fontId="6" fillId="0" borderId="0" xfId="0" applyFont="1" applyAlignment="1">
      <alignment horizontal="left"/>
    </xf>
    <xf numFmtId="0" fontId="7" fillId="0" borderId="0" xfId="0" applyFont="1" applyAlignment="1">
      <alignment horizontal="center"/>
    </xf>
    <xf numFmtId="0" fontId="4" fillId="0" borderId="0" xfId="0" applyFont="1" applyAlignment="1">
      <alignment horizontal="center"/>
    </xf>
    <xf numFmtId="0" fontId="0" fillId="0" borderId="0" xfId="0" applyAlignment="1">
      <alignment horizontal="center" vertical="center"/>
    </xf>
    <xf numFmtId="0" fontId="1" fillId="0" borderId="0" xfId="0" applyFont="1" applyAlignment="1">
      <alignment horizontal="center" vertical="top" wrapText="1"/>
    </xf>
    <xf numFmtId="0" fontId="6" fillId="0" borderId="0" xfId="0" applyFont="1" applyAlignment="1">
      <alignment wrapText="1"/>
    </xf>
    <xf numFmtId="0" fontId="5" fillId="0" borderId="0" xfId="1" applyAlignment="1">
      <alignment vertical="top" wrapText="1"/>
    </xf>
    <xf numFmtId="0" fontId="1" fillId="0" borderId="0" xfId="0" applyFont="1" applyAlignment="1">
      <alignment horizontal="left"/>
    </xf>
    <xf numFmtId="0" fontId="1" fillId="0" borderId="0" xfId="0" applyFont="1" applyAlignment="1">
      <alignment horizontal="center" vertical="top"/>
    </xf>
    <xf numFmtId="0" fontId="5" fillId="0" borderId="0" xfId="1" applyBorder="1" applyAlignment="1">
      <alignment vertical="top"/>
    </xf>
    <xf numFmtId="0" fontId="6" fillId="0" borderId="0" xfId="0" applyFont="1" applyAlignment="1">
      <alignment vertical="top"/>
    </xf>
    <xf numFmtId="0" fontId="8" fillId="0" borderId="0" xfId="0" applyFont="1" applyAlignment="1">
      <alignment vertical="top"/>
    </xf>
    <xf numFmtId="0" fontId="9" fillId="0" borderId="0" xfId="1" applyFont="1" applyBorder="1" applyAlignment="1">
      <alignment vertical="top"/>
    </xf>
    <xf numFmtId="0" fontId="8" fillId="0" borderId="0" xfId="0" applyFont="1" applyAlignment="1">
      <alignment horizontal="left" vertical="top"/>
    </xf>
    <xf numFmtId="0" fontId="0" fillId="0" borderId="0" xfId="0" applyAlignment="1">
      <alignment horizontal="left" vertical="top"/>
    </xf>
    <xf numFmtId="0" fontId="5" fillId="0" borderId="0" xfId="1" applyBorder="1" applyAlignment="1">
      <alignment horizontal="left" vertical="top"/>
    </xf>
    <xf numFmtId="0" fontId="5" fillId="0" borderId="0" xfId="1" applyBorder="1" applyAlignment="1">
      <alignment horizontal="center" vertical="center"/>
    </xf>
    <xf numFmtId="0" fontId="0" fillId="0" borderId="0" xfId="0" applyAlignment="1">
      <alignment horizontal="left" vertical="center"/>
    </xf>
    <xf numFmtId="0" fontId="12" fillId="0" borderId="0" xfId="0" applyFont="1" applyAlignment="1">
      <alignment horizontal="left" vertical="center"/>
    </xf>
    <xf numFmtId="0" fontId="5" fillId="0" borderId="0" xfId="1"/>
    <xf numFmtId="9" fontId="0" fillId="0" borderId="0" xfId="0" applyNumberFormat="1" applyAlignment="1">
      <alignment vertical="top"/>
    </xf>
    <xf numFmtId="0" fontId="0" fillId="0" borderId="0" xfId="0" applyAlignment="1">
      <alignment wrapText="1"/>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4hwkhM041ig&amp;list=PLSX5Ki474Krd5g3qcsp6uYRsZuNSVaMWV&amp;index=6" TargetMode="External"/><Relationship Id="rId13" Type="http://schemas.openxmlformats.org/officeDocument/2006/relationships/hyperlink" Target="https://www.youtube.com/watch?v=v4zmJ6WUdIE&amp;list=PLSX5Ki474Krd5g3qcsp6uYRsZuNSVaMWV&amp;index=13" TargetMode="External"/><Relationship Id="rId3" Type="http://schemas.openxmlformats.org/officeDocument/2006/relationships/hyperlink" Target="https://www.youtube.com/watch?v=UalMMH8Bb4g&amp;list=PLSX5Ki474Krd5g3qcsp6uYRsZuNSVaMWV&amp;index=9" TargetMode="External"/><Relationship Id="rId7" Type="http://schemas.openxmlformats.org/officeDocument/2006/relationships/hyperlink" Target="https://www.youtube.com/watch?v=KhclDwc3Irg&amp;list=PLSX5Ki474Krd5g3qcsp6uYRsZuNSVaMWV&amp;index=12" TargetMode="External"/><Relationship Id="rId12" Type="http://schemas.openxmlformats.org/officeDocument/2006/relationships/hyperlink" Target="https://www.youtube.com/watch?v=XwL3iEGbhf8&amp;list=PLSX5Ki474Krd5g3qcsp6uYRsZuNSVaMWV&amp;index=10" TargetMode="External"/><Relationship Id="rId2" Type="http://schemas.openxmlformats.org/officeDocument/2006/relationships/hyperlink" Target="https://www.youtube.com/watch?v=Ym8xMOFkxMQ" TargetMode="External"/><Relationship Id="rId1" Type="http://schemas.openxmlformats.org/officeDocument/2006/relationships/hyperlink" Target="https://www.youtube.com/watch?v=_6piL1TExWE&amp;pp=ygUuVGhhdCB3YXMgYSBiaXQgb2YgYSBjaGVhcCBzaG90IHdlcmVuJ3QgaXQgbWF0ZQ%3D%3D" TargetMode="External"/><Relationship Id="rId6" Type="http://schemas.openxmlformats.org/officeDocument/2006/relationships/hyperlink" Target="https://www.youtube.com/watch?v=vdJ8g-uYmt0&amp;list=PLSX5Ki474Krd5g3qcsp6uYRsZuNSVaMWV&amp;index=6" TargetMode="External"/><Relationship Id="rId11" Type="http://schemas.openxmlformats.org/officeDocument/2006/relationships/hyperlink" Target="https://www.youtube.com/watch?v=0KFqZ4hP9nU&amp;list=PLSX5Ki474Krd5g3qcsp6uYRsZuNSVaMWV&amp;index=8" TargetMode="External"/><Relationship Id="rId5" Type="http://schemas.openxmlformats.org/officeDocument/2006/relationships/hyperlink" Target="https://www.youtube.com/watch?v=GbJEdFb81ZE&amp;list=PLSX5Ki474Krd5g3qcsp6uYRsZuNSVaMWV&amp;index=11" TargetMode="External"/><Relationship Id="rId10" Type="http://schemas.openxmlformats.org/officeDocument/2006/relationships/hyperlink" Target="https://www.youtube.com/watch?v=qvIUa47x_Oc&amp;list=PLSX5Ki474Krd5g3qcsp6uYRsZuNSVaMWV&amp;index=4" TargetMode="External"/><Relationship Id="rId4" Type="http://schemas.openxmlformats.org/officeDocument/2006/relationships/hyperlink" Target="https://www.youtube.com/watch?v=i1lMoJ8jaOQ&amp;list=PLSX5Ki474Krd5g3qcsp6uYRsZuNSVaMWV&amp;index=7" TargetMode="External"/><Relationship Id="rId9" Type="http://schemas.openxmlformats.org/officeDocument/2006/relationships/hyperlink" Target="https://www.youtube.com/watch?v=zhO3d7SEaRg&amp;list=PLSX5Ki474Krd5g3qcsp6uYRsZuNSVaMWV&amp;index=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sites.research.google/gr/ava/download/" TargetMode="External"/><Relationship Id="rId1" Type="http://schemas.openxmlformats.org/officeDocument/2006/relationships/hyperlink" Target="https://github.com/microsoft/MS-SNSD/tree/ma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
  <sheetViews>
    <sheetView workbookViewId="0">
      <selection activeCell="C18" sqref="C18"/>
    </sheetView>
  </sheetViews>
  <sheetFormatPr defaultColWidth="8.7109375" defaultRowHeight="14.45"/>
  <cols>
    <col min="1" max="1" width="47.140625" style="2" bestFit="1" customWidth="1"/>
    <col min="2" max="2" width="16" style="2" customWidth="1"/>
    <col min="3" max="3" width="18" style="2" customWidth="1"/>
    <col min="4" max="4" width="20" style="2" bestFit="1" customWidth="1"/>
    <col min="5" max="5" width="33" style="2" customWidth="1"/>
    <col min="6" max="6" width="53.28515625" style="2" customWidth="1"/>
    <col min="7" max="7" width="12" style="2" customWidth="1"/>
    <col min="8" max="8" width="18" style="2" customWidth="1"/>
    <col min="9" max="9" width="24" style="2" customWidth="1"/>
    <col min="10" max="10" width="18" style="2" customWidth="1"/>
    <col min="11" max="11" width="24" style="2" customWidth="1"/>
    <col min="12" max="12" width="17" style="2" customWidth="1"/>
    <col min="13" max="13" width="16" style="2" customWidth="1"/>
    <col min="14" max="14" width="94.42578125" style="2" bestFit="1" customWidth="1"/>
    <col min="15" max="15" width="25" style="2" customWidth="1"/>
    <col min="16" max="16" width="26" style="2" customWidth="1"/>
    <col min="17" max="17" width="16" style="2" customWidth="1"/>
    <col min="18" max="18" width="20" style="2" customWidth="1"/>
    <col min="19" max="19" width="26" style="2" customWidth="1"/>
    <col min="20" max="20" width="31" style="2" bestFit="1" customWidth="1"/>
    <col min="21" max="21" width="11" style="2" customWidth="1"/>
    <col min="22" max="16384" width="8.7109375" style="2"/>
  </cols>
  <sheetData>
    <row r="1" spans="1:24" s="5" customFormat="1" ht="1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row>
    <row r="2" spans="1:24" ht="58.5" customHeight="1">
      <c r="A2" s="2" t="s">
        <v>21</v>
      </c>
      <c r="B2" s="2" t="s">
        <v>22</v>
      </c>
      <c r="C2" s="2" t="s">
        <v>23</v>
      </c>
      <c r="D2" s="2" t="s">
        <v>24</v>
      </c>
      <c r="F2" s="2" t="s">
        <v>25</v>
      </c>
      <c r="G2" s="2" t="s">
        <v>26</v>
      </c>
      <c r="H2" s="2" t="s">
        <v>27</v>
      </c>
      <c r="I2" s="2">
        <v>30.67</v>
      </c>
      <c r="J2" s="2" t="s">
        <v>28</v>
      </c>
      <c r="K2" s="2" t="s">
        <v>29</v>
      </c>
      <c r="L2" s="2" t="s">
        <v>30</v>
      </c>
      <c r="M2" s="2" t="s">
        <v>31</v>
      </c>
      <c r="N2" s="3" t="s">
        <v>32</v>
      </c>
      <c r="O2" s="34" t="s">
        <v>33</v>
      </c>
      <c r="P2" s="2" t="s">
        <v>34</v>
      </c>
      <c r="Q2" s="2" t="s">
        <v>35</v>
      </c>
      <c r="R2" s="2" t="s">
        <v>36</v>
      </c>
      <c r="S2" s="2" t="s">
        <v>37</v>
      </c>
      <c r="T2" s="2" t="s">
        <v>38</v>
      </c>
    </row>
    <row r="3" spans="1:24" ht="15">
      <c r="A3" s="2" t="s">
        <v>39</v>
      </c>
      <c r="B3" s="2" t="s">
        <v>40</v>
      </c>
      <c r="C3" s="2" t="s">
        <v>41</v>
      </c>
      <c r="D3" s="22" t="s">
        <v>42</v>
      </c>
      <c r="E3" s="2" t="s">
        <v>43</v>
      </c>
      <c r="F3" s="2" t="s">
        <v>43</v>
      </c>
      <c r="G3" s="2" t="s">
        <v>26</v>
      </c>
      <c r="H3" s="2" t="s">
        <v>44</v>
      </c>
      <c r="I3" s="2" t="s">
        <v>45</v>
      </c>
      <c r="J3" s="2">
        <v>4</v>
      </c>
      <c r="K3" s="2" t="s">
        <v>29</v>
      </c>
      <c r="L3" s="2" t="s">
        <v>30</v>
      </c>
      <c r="M3" s="8" t="s">
        <v>46</v>
      </c>
      <c r="N3" s="8" t="s">
        <v>47</v>
      </c>
      <c r="O3" s="8" t="s">
        <v>48</v>
      </c>
      <c r="P3" s="8" t="s">
        <v>49</v>
      </c>
      <c r="Q3" s="8" t="s">
        <v>50</v>
      </c>
      <c r="R3" s="8" t="s">
        <v>51</v>
      </c>
      <c r="S3" s="8" t="s">
        <v>37</v>
      </c>
      <c r="T3" s="8" t="s">
        <v>52</v>
      </c>
      <c r="U3" s="8"/>
      <c r="V3" s="8"/>
      <c r="W3" s="8"/>
      <c r="X3" s="8"/>
    </row>
    <row r="4" spans="1:24" ht="15">
      <c r="A4" s="2" t="s">
        <v>53</v>
      </c>
      <c r="B4" s="2" t="s">
        <v>54</v>
      </c>
      <c r="C4" s="2" t="s">
        <v>55</v>
      </c>
      <c r="D4" s="22" t="s">
        <v>56</v>
      </c>
      <c r="E4" s="2" t="s">
        <v>43</v>
      </c>
      <c r="F4" s="2" t="s">
        <v>57</v>
      </c>
      <c r="G4" s="2" t="s">
        <v>26</v>
      </c>
      <c r="H4" s="2" t="s">
        <v>58</v>
      </c>
      <c r="I4" s="2" t="s">
        <v>59</v>
      </c>
      <c r="K4" s="2" t="s">
        <v>29</v>
      </c>
      <c r="L4" s="2" t="s">
        <v>30</v>
      </c>
      <c r="M4" s="23" t="s">
        <v>46</v>
      </c>
      <c r="N4" s="23" t="s">
        <v>47</v>
      </c>
      <c r="O4" s="2" t="s">
        <v>60</v>
      </c>
      <c r="P4" s="23" t="s">
        <v>61</v>
      </c>
      <c r="Q4" s="2" t="s">
        <v>62</v>
      </c>
      <c r="R4" s="2" t="s">
        <v>51</v>
      </c>
      <c r="S4" s="2" t="s">
        <v>63</v>
      </c>
      <c r="T4" s="8" t="s">
        <v>52</v>
      </c>
    </row>
    <row r="5" spans="1:24" ht="15">
      <c r="A5" s="2" t="s">
        <v>64</v>
      </c>
      <c r="B5" s="24" t="s">
        <v>65</v>
      </c>
      <c r="C5" s="2" t="s">
        <v>55</v>
      </c>
      <c r="D5" s="25" t="s">
        <v>66</v>
      </c>
      <c r="E5" s="24" t="s">
        <v>43</v>
      </c>
      <c r="F5" s="24" t="s">
        <v>67</v>
      </c>
      <c r="G5" s="24" t="s">
        <v>26</v>
      </c>
      <c r="H5" s="26" t="s">
        <v>68</v>
      </c>
      <c r="I5" s="26">
        <v>10.52</v>
      </c>
      <c r="J5" s="26">
        <v>9</v>
      </c>
      <c r="K5" s="2" t="s">
        <v>29</v>
      </c>
      <c r="L5" s="2" t="s">
        <v>30</v>
      </c>
      <c r="M5" s="23" t="s">
        <v>46</v>
      </c>
      <c r="N5" s="24" t="s">
        <v>69</v>
      </c>
      <c r="O5" s="24" t="s">
        <v>70</v>
      </c>
      <c r="P5" s="24" t="s">
        <v>37</v>
      </c>
      <c r="Q5" s="24" t="s">
        <v>71</v>
      </c>
      <c r="R5" s="24" t="s">
        <v>72</v>
      </c>
      <c r="S5" s="2" t="s">
        <v>37</v>
      </c>
    </row>
    <row r="6" spans="1:24" ht="15">
      <c r="A6" s="2" t="s">
        <v>73</v>
      </c>
      <c r="B6" s="27" t="s">
        <v>74</v>
      </c>
      <c r="C6" s="2" t="s">
        <v>55</v>
      </c>
      <c r="D6" s="28" t="s">
        <v>75</v>
      </c>
      <c r="E6" s="27" t="s">
        <v>76</v>
      </c>
      <c r="F6" s="27" t="s">
        <v>77</v>
      </c>
      <c r="G6" s="26" t="s">
        <v>26</v>
      </c>
      <c r="H6" s="26" t="s">
        <v>68</v>
      </c>
      <c r="I6" s="27">
        <v>2.42</v>
      </c>
      <c r="J6" s="27">
        <v>4</v>
      </c>
      <c r="K6" s="2" t="s">
        <v>29</v>
      </c>
      <c r="L6" s="2" t="s">
        <v>30</v>
      </c>
      <c r="M6" s="23" t="s">
        <v>46</v>
      </c>
      <c r="N6" s="27" t="s">
        <v>78</v>
      </c>
      <c r="O6" s="27" t="s">
        <v>79</v>
      </c>
      <c r="P6" s="27" t="s">
        <v>37</v>
      </c>
      <c r="Q6" s="27" t="s">
        <v>80</v>
      </c>
      <c r="R6" s="27" t="s">
        <v>72</v>
      </c>
      <c r="S6" s="2" t="s">
        <v>37</v>
      </c>
    </row>
    <row r="7" spans="1:24" ht="15">
      <c r="A7" s="2" t="s">
        <v>81</v>
      </c>
      <c r="B7" s="27" t="s">
        <v>82</v>
      </c>
      <c r="C7" s="2" t="s">
        <v>55</v>
      </c>
      <c r="D7" s="28" t="s">
        <v>83</v>
      </c>
      <c r="E7" s="27" t="s">
        <v>84</v>
      </c>
      <c r="F7" s="27" t="s">
        <v>85</v>
      </c>
      <c r="G7" s="26" t="s">
        <v>26</v>
      </c>
      <c r="H7" s="26" t="s">
        <v>68</v>
      </c>
      <c r="I7" s="27">
        <v>17.350000000000001</v>
      </c>
      <c r="J7" s="27">
        <v>17</v>
      </c>
      <c r="K7" s="2" t="s">
        <v>29</v>
      </c>
      <c r="L7" s="2" t="s">
        <v>30</v>
      </c>
      <c r="M7" s="23" t="s">
        <v>46</v>
      </c>
      <c r="N7" s="27" t="s">
        <v>86</v>
      </c>
      <c r="O7" s="27" t="s">
        <v>87</v>
      </c>
      <c r="P7" s="27" t="s">
        <v>37</v>
      </c>
      <c r="Q7" s="27" t="s">
        <v>88</v>
      </c>
      <c r="R7" s="27" t="s">
        <v>72</v>
      </c>
      <c r="S7" s="2" t="s">
        <v>37</v>
      </c>
    </row>
    <row r="8" spans="1:24" ht="15">
      <c r="A8" s="2" t="s">
        <v>89</v>
      </c>
      <c r="B8" s="30" t="s">
        <v>90</v>
      </c>
      <c r="C8" s="2" t="s">
        <v>55</v>
      </c>
      <c r="D8" s="29" t="s">
        <v>91</v>
      </c>
      <c r="E8" s="30" t="s">
        <v>43</v>
      </c>
      <c r="F8" s="30" t="s">
        <v>92</v>
      </c>
      <c r="G8" s="30" t="s">
        <v>26</v>
      </c>
      <c r="H8" s="30" t="s">
        <v>68</v>
      </c>
      <c r="I8" s="30">
        <v>16.52</v>
      </c>
      <c r="J8" s="30" t="s">
        <v>93</v>
      </c>
      <c r="K8" s="2" t="s">
        <v>29</v>
      </c>
      <c r="L8" s="2" t="s">
        <v>30</v>
      </c>
      <c r="M8" s="23" t="s">
        <v>46</v>
      </c>
      <c r="N8" s="30" t="s">
        <v>94</v>
      </c>
      <c r="O8" s="30" t="s">
        <v>95</v>
      </c>
      <c r="P8" s="30" t="s">
        <v>37</v>
      </c>
      <c r="Q8" s="30" t="s">
        <v>96</v>
      </c>
      <c r="R8" s="30" t="s">
        <v>97</v>
      </c>
      <c r="S8" s="2" t="s">
        <v>37</v>
      </c>
    </row>
    <row r="9" spans="1:24" ht="15">
      <c r="A9" s="2" t="s">
        <v>98</v>
      </c>
      <c r="B9" s="30" t="s">
        <v>99</v>
      </c>
      <c r="C9" s="2" t="s">
        <v>55</v>
      </c>
      <c r="D9" s="29" t="s">
        <v>99</v>
      </c>
      <c r="E9" s="30" t="s">
        <v>100</v>
      </c>
      <c r="F9" s="30" t="s">
        <v>101</v>
      </c>
      <c r="G9" s="30" t="s">
        <v>26</v>
      </c>
      <c r="H9" s="30" t="s">
        <v>68</v>
      </c>
      <c r="I9" s="30">
        <v>1.4</v>
      </c>
      <c r="J9" s="30">
        <v>5</v>
      </c>
      <c r="K9" s="2" t="s">
        <v>29</v>
      </c>
      <c r="L9" s="2" t="s">
        <v>30</v>
      </c>
      <c r="M9" s="23" t="s">
        <v>46</v>
      </c>
      <c r="N9" s="30" t="s">
        <v>102</v>
      </c>
      <c r="O9" s="30" t="s">
        <v>103</v>
      </c>
      <c r="P9" s="30" t="s">
        <v>37</v>
      </c>
      <c r="Q9" s="30" t="s">
        <v>104</v>
      </c>
      <c r="R9" s="30" t="s">
        <v>97</v>
      </c>
      <c r="S9" s="2" t="s">
        <v>37</v>
      </c>
    </row>
    <row r="10" spans="1:24" ht="15">
      <c r="A10" s="2" t="s">
        <v>105</v>
      </c>
      <c r="B10" s="30" t="s">
        <v>106</v>
      </c>
      <c r="C10" s="2" t="s">
        <v>55</v>
      </c>
      <c r="D10" s="29" t="s">
        <v>107</v>
      </c>
      <c r="E10" s="30" t="s">
        <v>108</v>
      </c>
      <c r="F10" s="30" t="s">
        <v>109</v>
      </c>
      <c r="G10" s="30" t="s">
        <v>26</v>
      </c>
      <c r="H10" s="30" t="s">
        <v>44</v>
      </c>
      <c r="I10" s="30">
        <v>3.25</v>
      </c>
      <c r="J10" s="30">
        <v>3</v>
      </c>
      <c r="K10" s="2" t="s">
        <v>29</v>
      </c>
      <c r="L10" s="2" t="s">
        <v>30</v>
      </c>
      <c r="M10" s="23" t="s">
        <v>46</v>
      </c>
      <c r="N10" s="30" t="s">
        <v>110</v>
      </c>
      <c r="O10" s="30" t="s">
        <v>111</v>
      </c>
      <c r="P10" s="30" t="s">
        <v>37</v>
      </c>
      <c r="Q10" s="30" t="s">
        <v>80</v>
      </c>
      <c r="R10" s="31" t="s">
        <v>112</v>
      </c>
      <c r="S10" s="2" t="s">
        <v>37</v>
      </c>
    </row>
    <row r="11" spans="1:24" ht="15">
      <c r="A11" s="2" t="s">
        <v>113</v>
      </c>
      <c r="B11" s="2" t="s">
        <v>114</v>
      </c>
      <c r="C11" s="2" t="s">
        <v>55</v>
      </c>
      <c r="D11" s="9" t="s">
        <v>115</v>
      </c>
      <c r="E11" s="2" t="s">
        <v>116</v>
      </c>
      <c r="F11" s="30" t="s">
        <v>109</v>
      </c>
      <c r="G11" s="30" t="s">
        <v>26</v>
      </c>
      <c r="H11" s="30" t="s">
        <v>44</v>
      </c>
      <c r="I11" s="30">
        <v>3.35</v>
      </c>
      <c r="J11" s="27">
        <v>5</v>
      </c>
      <c r="K11" s="2" t="s">
        <v>29</v>
      </c>
      <c r="L11" s="2" t="s">
        <v>30</v>
      </c>
      <c r="M11" s="23" t="s">
        <v>46</v>
      </c>
      <c r="N11" s="2" t="s">
        <v>110</v>
      </c>
      <c r="O11" s="30" t="s">
        <v>103</v>
      </c>
      <c r="P11" s="2" t="s">
        <v>117</v>
      </c>
      <c r="Q11" s="30" t="s">
        <v>80</v>
      </c>
      <c r="R11" s="31" t="s">
        <v>118</v>
      </c>
      <c r="S11" s="2" t="s">
        <v>37</v>
      </c>
    </row>
    <row r="12" spans="1:24" ht="15">
      <c r="A12" s="2" t="s">
        <v>119</v>
      </c>
      <c r="B12" s="2" t="s">
        <v>120</v>
      </c>
      <c r="C12" s="2" t="s">
        <v>55</v>
      </c>
      <c r="D12" s="32" t="s">
        <v>121</v>
      </c>
      <c r="E12" s="2" t="s">
        <v>116</v>
      </c>
      <c r="F12" s="30" t="s">
        <v>109</v>
      </c>
      <c r="G12" s="30" t="s">
        <v>26</v>
      </c>
      <c r="H12" s="30" t="s">
        <v>44</v>
      </c>
      <c r="I12" s="30">
        <v>2.56</v>
      </c>
      <c r="J12" s="27">
        <v>6</v>
      </c>
      <c r="K12" s="2" t="s">
        <v>29</v>
      </c>
      <c r="L12" s="2" t="s">
        <v>30</v>
      </c>
      <c r="M12" s="23" t="s">
        <v>46</v>
      </c>
      <c r="N12" s="2" t="s">
        <v>102</v>
      </c>
      <c r="O12" s="30" t="s">
        <v>103</v>
      </c>
      <c r="P12" s="2" t="s">
        <v>122</v>
      </c>
      <c r="Q12" s="30" t="s">
        <v>123</v>
      </c>
      <c r="R12" s="31" t="s">
        <v>118</v>
      </c>
      <c r="S12" s="2" t="s">
        <v>37</v>
      </c>
    </row>
    <row r="13" spans="1:24" ht="15">
      <c r="A13" s="2" t="s">
        <v>124</v>
      </c>
      <c r="B13" s="2" t="s">
        <v>125</v>
      </c>
      <c r="C13" s="2" t="s">
        <v>55</v>
      </c>
      <c r="D13" s="9" t="s">
        <v>126</v>
      </c>
      <c r="E13" s="27" t="s">
        <v>84</v>
      </c>
      <c r="F13" s="2" t="s">
        <v>57</v>
      </c>
      <c r="G13" s="30" t="s">
        <v>26</v>
      </c>
      <c r="H13" s="30" t="s">
        <v>44</v>
      </c>
      <c r="I13" s="30">
        <v>14.16</v>
      </c>
      <c r="J13" s="27">
        <v>10</v>
      </c>
      <c r="K13" s="2" t="s">
        <v>29</v>
      </c>
      <c r="L13" s="2" t="s">
        <v>30</v>
      </c>
      <c r="M13" s="23" t="s">
        <v>46</v>
      </c>
      <c r="N13" s="24" t="s">
        <v>127</v>
      </c>
      <c r="O13" s="30" t="s">
        <v>95</v>
      </c>
      <c r="P13" s="2" t="s">
        <v>122</v>
      </c>
      <c r="Q13" s="2" t="s">
        <v>62</v>
      </c>
      <c r="R13" s="30" t="s">
        <v>97</v>
      </c>
      <c r="S13" s="2" t="s">
        <v>37</v>
      </c>
    </row>
    <row r="14" spans="1:24" ht="15">
      <c r="A14" s="2" t="s">
        <v>128</v>
      </c>
      <c r="B14" s="2" t="s">
        <v>129</v>
      </c>
      <c r="C14" s="2" t="s">
        <v>55</v>
      </c>
      <c r="D14" s="9" t="s">
        <v>130</v>
      </c>
      <c r="E14" s="2" t="s">
        <v>43</v>
      </c>
      <c r="F14" s="3" t="s">
        <v>43</v>
      </c>
      <c r="G14" s="30" t="s">
        <v>26</v>
      </c>
      <c r="H14" s="30" t="s">
        <v>44</v>
      </c>
      <c r="I14" s="30">
        <v>3.26</v>
      </c>
      <c r="J14" s="27">
        <v>5</v>
      </c>
      <c r="K14" s="2" t="s">
        <v>29</v>
      </c>
      <c r="L14" s="2" t="s">
        <v>30</v>
      </c>
      <c r="M14" s="23" t="s">
        <v>46</v>
      </c>
      <c r="N14" s="2" t="s">
        <v>110</v>
      </c>
      <c r="O14" s="33" t="s">
        <v>131</v>
      </c>
      <c r="P14" s="2" t="s">
        <v>117</v>
      </c>
      <c r="Q14" s="30" t="s">
        <v>80</v>
      </c>
      <c r="R14" s="2" t="s">
        <v>132</v>
      </c>
      <c r="S14" s="2" t="s">
        <v>37</v>
      </c>
    </row>
    <row r="15" spans="1:24" ht="15">
      <c r="A15" s="2" t="s">
        <v>133</v>
      </c>
      <c r="B15" s="2" t="s">
        <v>134</v>
      </c>
      <c r="C15" s="2" t="s">
        <v>55</v>
      </c>
      <c r="D15" s="9" t="s">
        <v>135</v>
      </c>
      <c r="E15" s="2" t="s">
        <v>43</v>
      </c>
      <c r="F15" s="2" t="s">
        <v>57</v>
      </c>
      <c r="G15" s="30" t="s">
        <v>26</v>
      </c>
      <c r="H15" s="30" t="s">
        <v>44</v>
      </c>
      <c r="I15" s="30">
        <v>17.37</v>
      </c>
      <c r="J15" s="27">
        <v>9</v>
      </c>
      <c r="K15" s="2" t="s">
        <v>29</v>
      </c>
      <c r="L15" s="2" t="s">
        <v>30</v>
      </c>
      <c r="M15" s="23" t="s">
        <v>46</v>
      </c>
      <c r="N15" s="2" t="s">
        <v>94</v>
      </c>
      <c r="O15" s="33" t="s">
        <v>136</v>
      </c>
      <c r="P15" s="2" t="s">
        <v>122</v>
      </c>
      <c r="Q15" s="2" t="s">
        <v>137</v>
      </c>
      <c r="R15" s="2" t="s">
        <v>97</v>
      </c>
      <c r="S15" s="2" t="s">
        <v>37</v>
      </c>
    </row>
  </sheetData>
  <hyperlinks>
    <hyperlink ref="D3" r:id="rId1" xr:uid="{9767FF16-E601-4E1F-9B8F-82EF099042F4}"/>
    <hyperlink ref="D4" r:id="rId2" xr:uid="{3F7898D6-EDCA-4C27-A2CB-6785F0A57EA1}"/>
    <hyperlink ref="D5" r:id="rId3" xr:uid="{D6B73DEF-B624-4AE5-8A15-3D00F51DE0A9}"/>
    <hyperlink ref="D6" r:id="rId4" xr:uid="{9806FDB6-1CFF-4492-BE37-15DCD9BF5DB9}"/>
    <hyperlink ref="D7" r:id="rId5" xr:uid="{23DF851C-C859-4510-AF89-D6E310A19AAD}"/>
    <hyperlink ref="D9" r:id="rId6" xr:uid="{A93773D8-FA0D-4207-8638-641B8DEB836A}"/>
    <hyperlink ref="D8" r:id="rId7" xr:uid="{FC783636-DD7E-406C-B066-EEED4CB9DB75}"/>
    <hyperlink ref="D10" r:id="rId8" xr:uid="{2772BDA0-2CE7-4195-A2FE-D51E42880DA9}"/>
    <hyperlink ref="D11" r:id="rId9" xr:uid="{7B547A5E-5210-4E34-9210-51568CF68904}"/>
    <hyperlink ref="D12" r:id="rId10" xr:uid="{75DFB3BB-2D39-4F68-BFF7-1040D437D93E}"/>
    <hyperlink ref="D13" r:id="rId11" xr:uid="{2E695F8A-ECE8-48AC-90AC-BC02F9E1CE51}"/>
    <hyperlink ref="D14" r:id="rId12" xr:uid="{224E965E-C9DB-4154-99ED-4475666DF96E}"/>
    <hyperlink ref="D15" r:id="rId13" xr:uid="{2700CFD6-64B3-4CF7-9FA8-B2E4B723D31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7FC4-C4E6-4662-82E3-657038B9142C}">
  <dimension ref="A1:S6"/>
  <sheetViews>
    <sheetView topLeftCell="A25" workbookViewId="0">
      <selection activeCell="D3" sqref="D3"/>
    </sheetView>
  </sheetViews>
  <sheetFormatPr defaultColWidth="8.7109375" defaultRowHeight="14.45"/>
  <cols>
    <col min="1" max="1" width="14" style="2" bestFit="1" customWidth="1"/>
    <col min="2" max="2" width="16" style="2" customWidth="1"/>
    <col min="3" max="3" width="21.42578125" style="2" bestFit="1" customWidth="1"/>
    <col min="4" max="4" width="30.42578125" style="2" customWidth="1"/>
    <col min="5" max="5" width="33" style="2" customWidth="1"/>
    <col min="6" max="6" width="53.28515625" style="2" customWidth="1"/>
    <col min="7" max="7" width="12" style="2" customWidth="1"/>
    <col min="8" max="8" width="18" style="2" customWidth="1"/>
    <col min="9" max="9" width="24" style="2" customWidth="1"/>
    <col min="10" max="10" width="17" style="2" customWidth="1"/>
    <col min="11" max="11" width="16" style="2" customWidth="1"/>
    <col min="12" max="12" width="15" style="2" customWidth="1"/>
    <col min="13" max="13" width="25" style="2" customWidth="1"/>
    <col min="14" max="14" width="26" style="2" customWidth="1"/>
    <col min="15" max="15" width="16" style="2" customWidth="1"/>
    <col min="16" max="16" width="20" style="2" customWidth="1"/>
    <col min="17" max="17" width="28.7109375" style="2" bestFit="1" customWidth="1"/>
    <col min="18" max="18" width="11" style="2" customWidth="1"/>
    <col min="19" max="16384" width="8.7109375" style="2"/>
  </cols>
  <sheetData>
    <row r="1" spans="1:19" s="5" customFormat="1" ht="30.75">
      <c r="A1" s="17" t="s">
        <v>138</v>
      </c>
      <c r="B1" s="17" t="s">
        <v>139</v>
      </c>
      <c r="C1" s="17" t="s">
        <v>140</v>
      </c>
      <c r="D1" s="17" t="s">
        <v>141</v>
      </c>
      <c r="E1" s="17" t="s">
        <v>142</v>
      </c>
      <c r="F1" s="17" t="s">
        <v>5</v>
      </c>
      <c r="G1" s="17" t="s">
        <v>6</v>
      </c>
      <c r="H1" s="17" t="s">
        <v>7</v>
      </c>
      <c r="I1" s="17" t="s">
        <v>10</v>
      </c>
      <c r="J1" s="17" t="s">
        <v>11</v>
      </c>
      <c r="K1" s="17" t="s">
        <v>12</v>
      </c>
      <c r="L1" s="17" t="s">
        <v>143</v>
      </c>
      <c r="M1" s="17" t="s">
        <v>14</v>
      </c>
      <c r="N1" s="17" t="s">
        <v>15</v>
      </c>
      <c r="O1" s="17" t="s">
        <v>16</v>
      </c>
      <c r="P1" s="17" t="s">
        <v>17</v>
      </c>
      <c r="Q1" s="17" t="s">
        <v>19</v>
      </c>
      <c r="R1" s="17" t="s">
        <v>20</v>
      </c>
    </row>
    <row r="2" spans="1:19" ht="30.95" customHeight="1">
      <c r="A2" s="3" t="s">
        <v>144</v>
      </c>
      <c r="B2" s="3" t="s">
        <v>145</v>
      </c>
      <c r="C2" s="3" t="s">
        <v>146</v>
      </c>
      <c r="D2" s="3" t="s">
        <v>147</v>
      </c>
      <c r="E2" s="3" t="s">
        <v>148</v>
      </c>
      <c r="F2" s="3" t="s">
        <v>25</v>
      </c>
      <c r="G2" s="3" t="s">
        <v>26</v>
      </c>
      <c r="H2" s="3" t="s">
        <v>149</v>
      </c>
      <c r="I2" s="3" t="s">
        <v>29</v>
      </c>
      <c r="J2" s="3" t="s">
        <v>30</v>
      </c>
      <c r="K2" s="3" t="s">
        <v>31</v>
      </c>
      <c r="L2" s="3" t="s">
        <v>150</v>
      </c>
      <c r="M2" s="3" t="s">
        <v>60</v>
      </c>
      <c r="N2" s="3" t="s">
        <v>34</v>
      </c>
      <c r="O2" s="3" t="s">
        <v>35</v>
      </c>
      <c r="P2" s="3" t="s">
        <v>36</v>
      </c>
      <c r="Q2" s="3" t="s">
        <v>38</v>
      </c>
      <c r="R2" s="3"/>
    </row>
    <row r="3" spans="1:19" ht="29.25">
      <c r="A3" s="18" t="s">
        <v>144</v>
      </c>
      <c r="B3" s="18" t="s">
        <v>151</v>
      </c>
      <c r="C3" s="18" t="s">
        <v>152</v>
      </c>
      <c r="D3" s="18"/>
      <c r="E3" s="18" t="s">
        <v>151</v>
      </c>
      <c r="F3" s="18" t="s">
        <v>153</v>
      </c>
      <c r="G3" s="18" t="s">
        <v>154</v>
      </c>
      <c r="H3" s="18" t="s">
        <v>155</v>
      </c>
      <c r="I3" s="18" t="s">
        <v>156</v>
      </c>
      <c r="J3" s="18" t="s">
        <v>157</v>
      </c>
      <c r="K3" s="18" t="s">
        <v>46</v>
      </c>
      <c r="L3" s="18" t="s">
        <v>48</v>
      </c>
      <c r="M3" s="18" t="s">
        <v>158</v>
      </c>
      <c r="N3" s="18" t="s">
        <v>159</v>
      </c>
      <c r="O3" s="18" t="s">
        <v>51</v>
      </c>
      <c r="P3" s="18" t="s">
        <v>52</v>
      </c>
      <c r="Q3" s="18"/>
      <c r="R3" s="18"/>
      <c r="S3" s="8"/>
    </row>
    <row r="4" spans="1:19" ht="91.5">
      <c r="A4" s="3" t="s">
        <v>160</v>
      </c>
      <c r="B4" s="18" t="s">
        <v>151</v>
      </c>
      <c r="C4" s="3" t="s">
        <v>161</v>
      </c>
      <c r="D4" s="3" t="s">
        <v>162</v>
      </c>
      <c r="E4" s="3" t="s">
        <v>151</v>
      </c>
      <c r="F4" s="3" t="s">
        <v>163</v>
      </c>
      <c r="G4" s="18" t="s">
        <v>154</v>
      </c>
      <c r="H4" s="3" t="s">
        <v>68</v>
      </c>
      <c r="I4" s="18" t="s">
        <v>156</v>
      </c>
      <c r="J4" s="18" t="s">
        <v>157</v>
      </c>
      <c r="K4" s="18" t="s">
        <v>46</v>
      </c>
      <c r="L4" s="18" t="s">
        <v>48</v>
      </c>
      <c r="M4" s="3" t="s">
        <v>158</v>
      </c>
      <c r="N4" s="18" t="s">
        <v>159</v>
      </c>
      <c r="O4" s="18" t="s">
        <v>51</v>
      </c>
      <c r="P4" s="18" t="s">
        <v>52</v>
      </c>
      <c r="Q4" s="3"/>
      <c r="R4" s="3"/>
    </row>
    <row r="5" spans="1:19" ht="137.25">
      <c r="A5" s="3" t="s">
        <v>164</v>
      </c>
      <c r="B5" s="3" t="s">
        <v>165</v>
      </c>
      <c r="C5" s="3"/>
      <c r="D5" s="19" t="s">
        <v>166</v>
      </c>
      <c r="E5" s="3" t="s">
        <v>167</v>
      </c>
      <c r="F5" s="3" t="s">
        <v>168</v>
      </c>
      <c r="G5" s="3" t="s">
        <v>169</v>
      </c>
      <c r="H5" s="3" t="s">
        <v>170</v>
      </c>
      <c r="I5" s="3" t="s">
        <v>171</v>
      </c>
      <c r="J5" s="18" t="s">
        <v>157</v>
      </c>
      <c r="K5" s="3" t="s">
        <v>172</v>
      </c>
      <c r="L5" s="3" t="s">
        <v>173</v>
      </c>
      <c r="M5" s="3" t="s">
        <v>174</v>
      </c>
      <c r="N5" s="3" t="s">
        <v>175</v>
      </c>
      <c r="O5" s="3" t="s">
        <v>176</v>
      </c>
      <c r="P5" s="3" t="s">
        <v>177</v>
      </c>
      <c r="Q5" s="3" t="s">
        <v>178</v>
      </c>
      <c r="R5" s="3"/>
    </row>
    <row r="6" spans="1:19" ht="137.25">
      <c r="A6" s="3" t="s">
        <v>179</v>
      </c>
      <c r="B6" s="3" t="s">
        <v>180</v>
      </c>
      <c r="C6" s="3"/>
      <c r="D6" s="19" t="s">
        <v>181</v>
      </c>
      <c r="E6" s="3" t="s">
        <v>182</v>
      </c>
      <c r="F6" s="3" t="s">
        <v>183</v>
      </c>
      <c r="G6" s="3" t="s">
        <v>184</v>
      </c>
      <c r="H6" s="3" t="s">
        <v>185</v>
      </c>
      <c r="I6" s="3" t="s">
        <v>186</v>
      </c>
      <c r="J6" s="3" t="s">
        <v>187</v>
      </c>
      <c r="K6" s="3" t="s">
        <v>188</v>
      </c>
      <c r="L6" s="3" t="s">
        <v>189</v>
      </c>
      <c r="M6" s="3" t="s">
        <v>190</v>
      </c>
      <c r="N6" s="3" t="s">
        <v>191</v>
      </c>
      <c r="O6" s="3" t="s">
        <v>192</v>
      </c>
      <c r="P6" s="3" t="s">
        <v>193</v>
      </c>
      <c r="Q6" s="3" t="s">
        <v>194</v>
      </c>
      <c r="R6" s="3"/>
    </row>
  </sheetData>
  <hyperlinks>
    <hyperlink ref="D5" r:id="rId1" xr:uid="{E906BD6D-E2AA-40D2-91DE-023370FD92FA}"/>
    <hyperlink ref="D6" r:id="rId2" location="ava_speech_download" xr:uid="{2128199A-FABA-4C92-8EA9-913531328E1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8"/>
  <sheetViews>
    <sheetView workbookViewId="0">
      <selection activeCell="A14" sqref="A14"/>
    </sheetView>
  </sheetViews>
  <sheetFormatPr defaultRowHeight="15"/>
  <cols>
    <col min="1" max="1" width="22.7109375" style="4" customWidth="1"/>
    <col min="2" max="2" width="27" style="4" bestFit="1" customWidth="1"/>
    <col min="3" max="3" width="31" style="4" customWidth="1"/>
    <col min="4" max="4" width="26" style="4" customWidth="1"/>
    <col min="5" max="5" width="14" style="4" customWidth="1"/>
    <col min="6" max="6" width="13" style="4" customWidth="1"/>
    <col min="7" max="7" width="25" style="4" customWidth="1"/>
    <col min="8" max="8" width="24.5703125" style="4" bestFit="1" customWidth="1"/>
    <col min="9" max="9" width="34" style="4" customWidth="1"/>
    <col min="10" max="10" width="21" style="4" customWidth="1"/>
    <col min="11" max="11" width="19" style="4" customWidth="1"/>
    <col min="12" max="12" width="46.42578125" style="4" bestFit="1" customWidth="1"/>
    <col min="13" max="13" width="22" style="4" customWidth="1"/>
    <col min="14" max="14" width="26" style="4" customWidth="1"/>
    <col min="15" max="15" width="22" style="4" customWidth="1"/>
    <col min="16" max="16" width="27" style="4" customWidth="1"/>
    <col min="17" max="17" width="18" style="4" customWidth="1"/>
    <col min="18" max="18" width="30" style="4" customWidth="1"/>
    <col min="19" max="19" width="140.85546875" style="12" bestFit="1" customWidth="1"/>
    <col min="20" max="16384" width="9.140625" style="4"/>
  </cols>
  <sheetData>
    <row r="1" spans="1:22">
      <c r="A1" s="6" t="s">
        <v>195</v>
      </c>
      <c r="B1" s="7" t="s">
        <v>196</v>
      </c>
      <c r="C1" s="7" t="s">
        <v>197</v>
      </c>
      <c r="D1" s="7" t="s">
        <v>198</v>
      </c>
      <c r="E1" s="7" t="s">
        <v>199</v>
      </c>
      <c r="F1" s="7" t="s">
        <v>200</v>
      </c>
      <c r="G1" s="7" t="s">
        <v>201</v>
      </c>
      <c r="H1" s="7" t="s">
        <v>202</v>
      </c>
      <c r="I1" s="7" t="s">
        <v>203</v>
      </c>
      <c r="J1" s="7" t="s">
        <v>204</v>
      </c>
      <c r="K1" s="7" t="s">
        <v>205</v>
      </c>
      <c r="L1" s="7" t="s">
        <v>206</v>
      </c>
      <c r="M1" s="7" t="s">
        <v>207</v>
      </c>
      <c r="N1" s="7" t="s">
        <v>208</v>
      </c>
      <c r="O1" s="7" t="s">
        <v>209</v>
      </c>
      <c r="P1" s="7" t="s">
        <v>210</v>
      </c>
      <c r="Q1" s="7" t="s">
        <v>211</v>
      </c>
      <c r="R1" s="7" t="s">
        <v>212</v>
      </c>
      <c r="S1" s="20" t="s">
        <v>213</v>
      </c>
    </row>
    <row r="2" spans="1:22">
      <c r="A2" s="4" t="s">
        <v>214</v>
      </c>
      <c r="B2" s="4" t="s">
        <v>215</v>
      </c>
      <c r="D2" s="4" t="s">
        <v>216</v>
      </c>
      <c r="E2" s="4" t="s">
        <v>217</v>
      </c>
      <c r="F2" s="4" t="s">
        <v>218</v>
      </c>
      <c r="G2" s="4" t="s">
        <v>219</v>
      </c>
      <c r="I2" s="4" t="s">
        <v>220</v>
      </c>
      <c r="J2" s="4" t="s">
        <v>221</v>
      </c>
      <c r="K2" s="4" t="s">
        <v>222</v>
      </c>
      <c r="L2" s="4" t="s">
        <v>223</v>
      </c>
      <c r="M2" s="4">
        <v>15</v>
      </c>
      <c r="N2" s="4" t="s">
        <v>224</v>
      </c>
      <c r="O2" s="4" t="s">
        <v>225</v>
      </c>
      <c r="P2" s="4" t="s">
        <v>226</v>
      </c>
      <c r="Q2" s="4" t="s">
        <v>227</v>
      </c>
      <c r="R2" s="4" t="s">
        <v>228</v>
      </c>
      <c r="S2" s="12" t="s">
        <v>229</v>
      </c>
    </row>
    <row r="3" spans="1:22">
      <c r="A3" s="11" t="s">
        <v>230</v>
      </c>
      <c r="B3" s="11" t="s">
        <v>231</v>
      </c>
      <c r="C3" s="11" t="s">
        <v>158</v>
      </c>
      <c r="D3" s="11" t="s">
        <v>232</v>
      </c>
      <c r="E3" s="11">
        <v>8.1</v>
      </c>
      <c r="F3" s="11">
        <v>8.1</v>
      </c>
      <c r="G3" s="11" t="s">
        <v>158</v>
      </c>
      <c r="H3" s="11"/>
      <c r="I3" s="11" t="s">
        <v>233</v>
      </c>
      <c r="J3" s="11" t="s">
        <v>234</v>
      </c>
      <c r="K3" s="11" t="s">
        <v>235</v>
      </c>
      <c r="L3" s="11" t="s">
        <v>236</v>
      </c>
      <c r="M3" s="11" t="s">
        <v>237</v>
      </c>
      <c r="N3" s="11" t="s">
        <v>238</v>
      </c>
      <c r="O3" s="11" t="s">
        <v>239</v>
      </c>
      <c r="P3" s="11" t="s">
        <v>235</v>
      </c>
      <c r="Q3" s="11" t="s">
        <v>235</v>
      </c>
      <c r="R3" s="11"/>
      <c r="S3" s="13" t="s">
        <v>240</v>
      </c>
      <c r="T3" s="11"/>
      <c r="U3" s="11"/>
      <c r="V3" s="11"/>
    </row>
    <row r="4" spans="1:22">
      <c r="A4" s="11" t="s">
        <v>241</v>
      </c>
      <c r="B4" s="11" t="s">
        <v>242</v>
      </c>
      <c r="C4" s="11" t="s">
        <v>158</v>
      </c>
      <c r="D4" s="11" t="s">
        <v>232</v>
      </c>
      <c r="E4" s="11">
        <v>8.1</v>
      </c>
      <c r="F4" s="11">
        <v>8.1</v>
      </c>
      <c r="G4" s="11" t="s">
        <v>158</v>
      </c>
      <c r="H4" s="11"/>
      <c r="I4" s="11" t="s">
        <v>233</v>
      </c>
      <c r="J4" s="11" t="s">
        <v>234</v>
      </c>
      <c r="K4" s="11" t="s">
        <v>235</v>
      </c>
      <c r="L4" s="11" t="s">
        <v>236</v>
      </c>
      <c r="M4" s="11" t="s">
        <v>237</v>
      </c>
      <c r="N4" s="11" t="s">
        <v>238</v>
      </c>
      <c r="O4" s="11" t="s">
        <v>239</v>
      </c>
      <c r="P4" s="11" t="s">
        <v>235</v>
      </c>
      <c r="Q4" s="11" t="s">
        <v>227</v>
      </c>
      <c r="R4" s="11"/>
      <c r="S4" s="13" t="s">
        <v>243</v>
      </c>
      <c r="T4" s="11"/>
      <c r="U4" s="11"/>
      <c r="V4" s="11"/>
    </row>
    <row r="5" spans="1:22">
      <c r="A5" s="4" t="s">
        <v>244</v>
      </c>
      <c r="B5" s="4" t="s">
        <v>245</v>
      </c>
      <c r="C5" s="11" t="s">
        <v>158</v>
      </c>
      <c r="D5" s="4" t="s">
        <v>246</v>
      </c>
      <c r="E5" s="16">
        <v>4.0599999999999996</v>
      </c>
      <c r="F5" s="4">
        <v>4.2300000000000004</v>
      </c>
      <c r="G5" s="4" t="s">
        <v>247</v>
      </c>
      <c r="H5" s="4" t="s">
        <v>248</v>
      </c>
      <c r="I5" s="4" t="s">
        <v>249</v>
      </c>
      <c r="J5" s="4" t="s">
        <v>250</v>
      </c>
      <c r="K5" s="4" t="s">
        <v>251</v>
      </c>
      <c r="L5" s="4" t="s">
        <v>252</v>
      </c>
      <c r="M5" s="4" t="s">
        <v>253</v>
      </c>
      <c r="N5" s="4" t="s">
        <v>254</v>
      </c>
      <c r="O5" s="4" t="s">
        <v>255</v>
      </c>
      <c r="P5" s="4" t="s">
        <v>251</v>
      </c>
      <c r="Q5" s="4" t="s">
        <v>256</v>
      </c>
      <c r="R5" s="4" t="s">
        <v>257</v>
      </c>
      <c r="S5" s="12" t="s">
        <v>258</v>
      </c>
    </row>
    <row r="6" spans="1:22">
      <c r="A6" s="4" t="s">
        <v>259</v>
      </c>
      <c r="B6" s="4" t="s">
        <v>245</v>
      </c>
      <c r="C6" s="11" t="s">
        <v>158</v>
      </c>
      <c r="D6" s="4" t="s">
        <v>246</v>
      </c>
      <c r="E6" s="16">
        <v>4.0599999999999996</v>
      </c>
      <c r="F6" s="4">
        <v>4.2300000000000004</v>
      </c>
      <c r="G6" s="4" t="s">
        <v>247</v>
      </c>
      <c r="H6" s="4" t="s">
        <v>248</v>
      </c>
      <c r="I6" s="4" t="s">
        <v>249</v>
      </c>
      <c r="J6" s="4" t="s">
        <v>250</v>
      </c>
      <c r="K6" s="4" t="s">
        <v>251</v>
      </c>
      <c r="L6" s="4" t="s">
        <v>252</v>
      </c>
      <c r="M6" s="4" t="s">
        <v>253</v>
      </c>
      <c r="N6" s="4" t="s">
        <v>254</v>
      </c>
      <c r="O6" s="4" t="s">
        <v>255</v>
      </c>
      <c r="P6" s="4" t="s">
        <v>251</v>
      </c>
      <c r="Q6" s="4" t="s">
        <v>256</v>
      </c>
      <c r="R6" s="4" t="s">
        <v>257</v>
      </c>
      <c r="S6" s="12" t="s">
        <v>258</v>
      </c>
    </row>
    <row r="7" spans="1:22">
      <c r="A7" s="4" t="s">
        <v>260</v>
      </c>
      <c r="B7" s="4" t="s">
        <v>245</v>
      </c>
      <c r="C7" s="4" t="s">
        <v>158</v>
      </c>
      <c r="D7" s="4" t="s">
        <v>261</v>
      </c>
      <c r="I7" s="4" t="s">
        <v>249</v>
      </c>
      <c r="J7" s="4" t="s">
        <v>250</v>
      </c>
      <c r="K7" s="4" t="s">
        <v>251</v>
      </c>
      <c r="L7" s="4" t="s">
        <v>252</v>
      </c>
      <c r="M7" s="4" t="s">
        <v>253</v>
      </c>
      <c r="N7" s="4" t="s">
        <v>254</v>
      </c>
      <c r="O7" s="4" t="s">
        <v>255</v>
      </c>
      <c r="P7" s="4" t="s">
        <v>251</v>
      </c>
    </row>
    <row r="8" spans="1:22">
      <c r="A8" s="4" t="s">
        <v>262</v>
      </c>
      <c r="B8" s="4" t="s">
        <v>245</v>
      </c>
      <c r="C8" s="4" t="s">
        <v>158</v>
      </c>
      <c r="D8" s="4" t="s">
        <v>261</v>
      </c>
      <c r="I8" s="4" t="s">
        <v>249</v>
      </c>
      <c r="J8" s="4" t="s">
        <v>250</v>
      </c>
      <c r="K8" s="4" t="s">
        <v>251</v>
      </c>
      <c r="L8" s="4" t="s">
        <v>252</v>
      </c>
      <c r="M8" s="4" t="s">
        <v>253</v>
      </c>
      <c r="N8" s="4" t="s">
        <v>254</v>
      </c>
      <c r="O8" s="4" t="s">
        <v>255</v>
      </c>
      <c r="P8" s="4" t="s">
        <v>251</v>
      </c>
    </row>
    <row r="9" spans="1:22">
      <c r="A9" s="4" t="s">
        <v>263</v>
      </c>
      <c r="B9" s="4" t="s">
        <v>264</v>
      </c>
      <c r="C9" s="4" t="s">
        <v>158</v>
      </c>
      <c r="D9" s="4" t="s">
        <v>261</v>
      </c>
      <c r="I9" s="4" t="s">
        <v>249</v>
      </c>
      <c r="J9" s="4" t="s">
        <v>250</v>
      </c>
      <c r="K9" s="4" t="s">
        <v>251</v>
      </c>
      <c r="L9" s="4" t="s">
        <v>252</v>
      </c>
      <c r="M9" s="4" t="s">
        <v>253</v>
      </c>
      <c r="N9" s="4" t="s">
        <v>254</v>
      </c>
      <c r="O9" s="4" t="s">
        <v>255</v>
      </c>
      <c r="P9" s="4" t="s">
        <v>251</v>
      </c>
    </row>
    <row r="10" spans="1:22">
      <c r="A10" s="4" t="s">
        <v>265</v>
      </c>
      <c r="B10" s="4" t="s">
        <v>264</v>
      </c>
      <c r="C10" s="4" t="s">
        <v>158</v>
      </c>
      <c r="D10" s="4" t="s">
        <v>261</v>
      </c>
      <c r="I10" s="4" t="s">
        <v>249</v>
      </c>
      <c r="J10" s="4" t="s">
        <v>250</v>
      </c>
      <c r="K10" s="4" t="s">
        <v>251</v>
      </c>
      <c r="L10" s="4" t="s">
        <v>252</v>
      </c>
      <c r="M10" s="4" t="s">
        <v>253</v>
      </c>
      <c r="N10" s="4" t="s">
        <v>254</v>
      </c>
      <c r="O10" s="4" t="s">
        <v>255</v>
      </c>
      <c r="P10" s="4" t="s">
        <v>251</v>
      </c>
    </row>
    <row r="11" spans="1:22">
      <c r="A11" s="4" t="s">
        <v>266</v>
      </c>
      <c r="B11" s="4" t="s">
        <v>164</v>
      </c>
      <c r="C11" s="4" t="s">
        <v>267</v>
      </c>
      <c r="I11" s="4" t="s">
        <v>268</v>
      </c>
      <c r="J11" s="4" t="s">
        <v>250</v>
      </c>
      <c r="K11" s="4" t="s">
        <v>251</v>
      </c>
      <c r="L11" s="4" t="s">
        <v>269</v>
      </c>
      <c r="N11" s="4" t="s">
        <v>254</v>
      </c>
      <c r="O11" s="4" t="s">
        <v>255</v>
      </c>
      <c r="P11" s="4" t="s">
        <v>251</v>
      </c>
      <c r="S11" s="12" t="s">
        <v>270</v>
      </c>
    </row>
    <row r="12" spans="1:22">
      <c r="A12" s="4" t="s">
        <v>271</v>
      </c>
      <c r="B12" s="4" t="s">
        <v>164</v>
      </c>
      <c r="C12" s="4" t="s">
        <v>267</v>
      </c>
      <c r="I12" s="4" t="s">
        <v>268</v>
      </c>
      <c r="J12" s="4" t="s">
        <v>250</v>
      </c>
      <c r="K12" s="4" t="s">
        <v>251</v>
      </c>
      <c r="L12" s="4" t="s">
        <v>269</v>
      </c>
      <c r="N12" s="4" t="s">
        <v>254</v>
      </c>
      <c r="O12" s="4" t="s">
        <v>255</v>
      </c>
      <c r="P12" s="4" t="s">
        <v>251</v>
      </c>
      <c r="S12" s="12" t="s">
        <v>272</v>
      </c>
    </row>
    <row r="13" spans="1:22">
      <c r="A13" s="4" t="s">
        <v>273</v>
      </c>
      <c r="B13" s="4" t="s">
        <v>179</v>
      </c>
      <c r="C13" s="4" t="s">
        <v>267</v>
      </c>
      <c r="I13" s="4" t="s">
        <v>268</v>
      </c>
      <c r="J13" s="4" t="s">
        <v>250</v>
      </c>
      <c r="K13" s="4" t="s">
        <v>251</v>
      </c>
      <c r="L13" s="4" t="s">
        <v>269</v>
      </c>
      <c r="N13" s="4" t="s">
        <v>254</v>
      </c>
      <c r="O13" s="4" t="s">
        <v>255</v>
      </c>
      <c r="P13" s="4" t="s">
        <v>251</v>
      </c>
      <c r="S13" s="12" t="s">
        <v>274</v>
      </c>
    </row>
    <row r="14" spans="1:22">
      <c r="A14" s="4" t="s">
        <v>275</v>
      </c>
      <c r="B14" s="4" t="s">
        <v>179</v>
      </c>
      <c r="C14" s="4" t="s">
        <v>158</v>
      </c>
      <c r="D14" s="4" t="s">
        <v>261</v>
      </c>
      <c r="I14" s="4" t="s">
        <v>268</v>
      </c>
      <c r="J14" s="4" t="s">
        <v>250</v>
      </c>
      <c r="K14" s="4" t="s">
        <v>251</v>
      </c>
      <c r="L14" s="4" t="s">
        <v>269</v>
      </c>
      <c r="N14" s="4" t="s">
        <v>254</v>
      </c>
      <c r="O14" s="4" t="s">
        <v>255</v>
      </c>
      <c r="P14" s="4" t="s">
        <v>251</v>
      </c>
      <c r="S14" s="12" t="s">
        <v>276</v>
      </c>
    </row>
    <row r="15" spans="1:22">
      <c r="A15" s="4" t="s">
        <v>277</v>
      </c>
      <c r="B15" s="4" t="s">
        <v>164</v>
      </c>
      <c r="C15" s="4" t="s">
        <v>267</v>
      </c>
      <c r="I15" s="4" t="s">
        <v>249</v>
      </c>
      <c r="J15" s="4" t="s">
        <v>250</v>
      </c>
      <c r="K15" s="4" t="s">
        <v>251</v>
      </c>
      <c r="L15" s="4" t="s">
        <v>269</v>
      </c>
      <c r="N15" s="4" t="s">
        <v>254</v>
      </c>
      <c r="O15" s="4" t="s">
        <v>255</v>
      </c>
      <c r="P15" s="4" t="s">
        <v>251</v>
      </c>
      <c r="S15" s="12" t="s">
        <v>278</v>
      </c>
    </row>
    <row r="16" spans="1:22">
      <c r="A16" s="4" t="s">
        <v>279</v>
      </c>
      <c r="B16" s="4" t="s">
        <v>164</v>
      </c>
      <c r="C16" s="4" t="s">
        <v>267</v>
      </c>
      <c r="I16" s="4" t="s">
        <v>249</v>
      </c>
      <c r="J16" s="4" t="s">
        <v>250</v>
      </c>
      <c r="K16" s="4" t="s">
        <v>251</v>
      </c>
      <c r="L16" s="4" t="s">
        <v>269</v>
      </c>
      <c r="N16" s="4" t="s">
        <v>254</v>
      </c>
      <c r="O16" s="4" t="s">
        <v>255</v>
      </c>
      <c r="P16" s="4" t="s">
        <v>251</v>
      </c>
      <c r="S16" s="12" t="s">
        <v>280</v>
      </c>
    </row>
    <row r="17" spans="1:19">
      <c r="A17" s="4" t="s">
        <v>281</v>
      </c>
      <c r="B17" s="4" t="s">
        <v>179</v>
      </c>
      <c r="C17" s="4" t="s">
        <v>267</v>
      </c>
      <c r="I17" s="4" t="s">
        <v>249</v>
      </c>
      <c r="J17" s="4" t="s">
        <v>250</v>
      </c>
      <c r="K17" s="4" t="s">
        <v>251</v>
      </c>
      <c r="L17" s="4" t="s">
        <v>269</v>
      </c>
      <c r="N17" s="4" t="s">
        <v>254</v>
      </c>
      <c r="O17" s="4" t="s">
        <v>255</v>
      </c>
      <c r="P17" s="4" t="s">
        <v>251</v>
      </c>
      <c r="S17" s="12" t="s">
        <v>282</v>
      </c>
    </row>
    <row r="18" spans="1:19">
      <c r="A18" s="4" t="s">
        <v>283</v>
      </c>
      <c r="B18" s="4" t="s">
        <v>179</v>
      </c>
      <c r="C18" s="4" t="s">
        <v>158</v>
      </c>
      <c r="D18" s="4" t="s">
        <v>261</v>
      </c>
      <c r="I18" s="4" t="s">
        <v>284</v>
      </c>
      <c r="J18" s="4" t="s">
        <v>250</v>
      </c>
      <c r="K18" s="4" t="s">
        <v>251</v>
      </c>
      <c r="L18" s="4" t="s">
        <v>269</v>
      </c>
      <c r="N18" s="4" t="s">
        <v>254</v>
      </c>
      <c r="O18" s="4" t="s">
        <v>255</v>
      </c>
      <c r="P18" s="4" t="s">
        <v>251</v>
      </c>
      <c r="S18" s="12" t="s">
        <v>285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F3D2-FB4A-413A-BF45-7976871175F2}">
  <dimension ref="A1:N63"/>
  <sheetViews>
    <sheetView workbookViewId="0">
      <selection activeCell="B41" sqref="B41"/>
    </sheetView>
  </sheetViews>
  <sheetFormatPr defaultRowHeight="14.45"/>
  <cols>
    <col min="1" max="1" width="20.42578125" style="4" bestFit="1" customWidth="1"/>
    <col min="2" max="2" width="37.7109375" style="4" bestFit="1" customWidth="1"/>
    <col min="3" max="3" width="17.7109375" style="4" bestFit="1" customWidth="1"/>
    <col min="4" max="4" width="12.85546875" style="4" bestFit="1" customWidth="1"/>
    <col min="5" max="5" width="19.28515625" style="4" bestFit="1" customWidth="1"/>
    <col min="6" max="6" width="6.140625" style="4" bestFit="1" customWidth="1"/>
    <col min="7" max="7" width="9.28515625" style="4" bestFit="1" customWidth="1"/>
    <col min="8" max="8" width="6.42578125" style="4" bestFit="1" customWidth="1"/>
    <col min="9" max="9" width="9.140625" style="4" bestFit="1" customWidth="1"/>
    <col min="10" max="10" width="8" style="4" bestFit="1" customWidth="1"/>
    <col min="11" max="11" width="16.140625" style="4" bestFit="1" customWidth="1"/>
    <col min="12" max="12" width="53" style="4" bestFit="1" customWidth="1"/>
    <col min="13" max="13" width="14.28515625" style="4" bestFit="1" customWidth="1"/>
    <col min="14" max="14" width="10.7109375" style="4" bestFit="1" customWidth="1"/>
    <col min="15" max="16384" width="9.140625" style="4"/>
  </cols>
  <sheetData>
    <row r="1" spans="1:14">
      <c r="A1" s="7" t="s">
        <v>196</v>
      </c>
      <c r="B1" s="7" t="s">
        <v>286</v>
      </c>
      <c r="C1" s="7" t="s">
        <v>287</v>
      </c>
      <c r="D1" s="7" t="s">
        <v>288</v>
      </c>
      <c r="E1" s="7" t="s">
        <v>289</v>
      </c>
      <c r="F1" s="7" t="s">
        <v>290</v>
      </c>
      <c r="G1" s="7" t="s">
        <v>291</v>
      </c>
      <c r="H1" s="7" t="s">
        <v>292</v>
      </c>
      <c r="I1" s="7" t="s">
        <v>293</v>
      </c>
      <c r="J1" s="7" t="s">
        <v>294</v>
      </c>
      <c r="K1" s="7" t="s">
        <v>295</v>
      </c>
      <c r="L1" s="7" t="s">
        <v>296</v>
      </c>
      <c r="M1" s="7" t="s">
        <v>297</v>
      </c>
      <c r="N1" s="7" t="s">
        <v>298</v>
      </c>
    </row>
    <row r="2" spans="1:14">
      <c r="A2" s="4" t="s">
        <v>214</v>
      </c>
      <c r="B2" s="4" t="s">
        <v>215</v>
      </c>
    </row>
    <row r="3" spans="1:14">
      <c r="A3" s="4" t="s">
        <v>214</v>
      </c>
      <c r="B3" s="4" t="s">
        <v>215</v>
      </c>
      <c r="C3" s="4" t="s">
        <v>299</v>
      </c>
      <c r="E3" s="4">
        <v>3.1</v>
      </c>
      <c r="F3" s="4">
        <v>0.442</v>
      </c>
      <c r="L3" s="4" t="s">
        <v>300</v>
      </c>
      <c r="M3" s="4" t="s">
        <v>301</v>
      </c>
    </row>
    <row r="4" spans="1:14">
      <c r="A4" s="4" t="s">
        <v>302</v>
      </c>
      <c r="B4" s="4" t="s">
        <v>215</v>
      </c>
      <c r="C4" s="4" t="s">
        <v>299</v>
      </c>
      <c r="E4" s="4">
        <v>3.1</v>
      </c>
      <c r="F4" s="4">
        <v>0.51600000000000001</v>
      </c>
      <c r="L4" s="4" t="s">
        <v>303</v>
      </c>
      <c r="M4" s="4" t="s">
        <v>304</v>
      </c>
    </row>
    <row r="5" spans="1:14" ht="15">
      <c r="A5" s="4" t="s">
        <v>244</v>
      </c>
      <c r="B5" s="4" t="s">
        <v>37</v>
      </c>
      <c r="C5" s="4" t="s">
        <v>305</v>
      </c>
      <c r="D5" s="4" t="s">
        <v>306</v>
      </c>
      <c r="E5" s="4" t="s">
        <v>307</v>
      </c>
      <c r="F5" s="4">
        <v>0.4103</v>
      </c>
    </row>
    <row r="6" spans="1:14" ht="15">
      <c r="A6" s="4" t="s">
        <v>244</v>
      </c>
      <c r="B6" s="4" t="s">
        <v>37</v>
      </c>
      <c r="C6" s="4" t="s">
        <v>305</v>
      </c>
      <c r="D6" s="4" t="s">
        <v>306</v>
      </c>
      <c r="E6" s="4" t="s">
        <v>307</v>
      </c>
      <c r="F6" s="4">
        <v>0.4103</v>
      </c>
    </row>
    <row r="7" spans="1:14" ht="15">
      <c r="A7" s="4" t="s">
        <v>259</v>
      </c>
      <c r="B7" s="4" t="s">
        <v>37</v>
      </c>
      <c r="C7" s="4" t="s">
        <v>308</v>
      </c>
      <c r="D7" s="4" t="s">
        <v>309</v>
      </c>
      <c r="E7" s="4" t="s">
        <v>310</v>
      </c>
      <c r="F7" s="4">
        <v>0.54059999999999997</v>
      </c>
    </row>
    <row r="8" spans="1:14" ht="15">
      <c r="A8" s="4" t="s">
        <v>259</v>
      </c>
      <c r="B8" s="4" t="s">
        <v>37</v>
      </c>
      <c r="C8" s="4" t="s">
        <v>308</v>
      </c>
      <c r="D8" s="4" t="s">
        <v>309</v>
      </c>
      <c r="E8" s="4" t="s">
        <v>310</v>
      </c>
      <c r="F8" s="4">
        <v>0.54059999999999997</v>
      </c>
    </row>
    <row r="9" spans="1:14">
      <c r="A9" s="4" t="s">
        <v>260</v>
      </c>
      <c r="B9" s="4" t="s">
        <v>311</v>
      </c>
      <c r="C9" s="4" t="s">
        <v>299</v>
      </c>
      <c r="D9" s="4" t="s">
        <v>306</v>
      </c>
      <c r="E9" s="4">
        <v>3.1</v>
      </c>
      <c r="F9" s="4">
        <v>0.48080000000000001</v>
      </c>
    </row>
    <row r="10" spans="1:14">
      <c r="A10" s="4" t="s">
        <v>262</v>
      </c>
      <c r="B10" s="4" t="s">
        <v>311</v>
      </c>
      <c r="C10" s="4" t="s">
        <v>308</v>
      </c>
      <c r="D10" s="4" t="s">
        <v>309</v>
      </c>
      <c r="E10" s="4" t="s">
        <v>310</v>
      </c>
      <c r="F10" s="4">
        <v>0.50249999999999995</v>
      </c>
    </row>
    <row r="11" spans="1:14">
      <c r="A11" s="4" t="s">
        <v>263</v>
      </c>
      <c r="B11" s="4" t="s">
        <v>312</v>
      </c>
      <c r="C11" s="4" t="s">
        <v>299</v>
      </c>
      <c r="D11" s="4" t="s">
        <v>306</v>
      </c>
      <c r="E11" s="4">
        <v>3.1</v>
      </c>
      <c r="F11" s="4">
        <v>0.47399999999999998</v>
      </c>
    </row>
    <row r="12" spans="1:14">
      <c r="A12" s="4" t="s">
        <v>265</v>
      </c>
      <c r="B12" s="4" t="s">
        <v>312</v>
      </c>
      <c r="C12" s="4" t="s">
        <v>308</v>
      </c>
      <c r="D12" s="4" t="s">
        <v>309</v>
      </c>
      <c r="E12" s="4" t="s">
        <v>310</v>
      </c>
      <c r="F12" s="4">
        <v>0.54239999999999999</v>
      </c>
    </row>
    <row r="35" spans="2:2">
      <c r="B35" s="4" t="s">
        <v>313</v>
      </c>
    </row>
    <row r="37" spans="2:2">
      <c r="B37" s="4" t="s">
        <v>314</v>
      </c>
    </row>
    <row r="38" spans="2:2">
      <c r="B38" s="4" t="s">
        <v>315</v>
      </c>
    </row>
    <row r="39" spans="2:2">
      <c r="B39" s="4" t="s">
        <v>316</v>
      </c>
    </row>
    <row r="40" spans="2:2">
      <c r="B40" s="4" t="s">
        <v>305</v>
      </c>
    </row>
    <row r="41" spans="2:2">
      <c r="B41" s="4">
        <v>3.1</v>
      </c>
    </row>
    <row r="49" spans="2:2">
      <c r="B49" s="4" t="s">
        <v>313</v>
      </c>
    </row>
    <row r="51" spans="2:2">
      <c r="B51" s="4" t="s">
        <v>314</v>
      </c>
    </row>
    <row r="52" spans="2:2">
      <c r="B52" s="4" t="s">
        <v>315</v>
      </c>
    </row>
    <row r="53" spans="2:2">
      <c r="B53" s="4" t="s">
        <v>317</v>
      </c>
    </row>
    <row r="54" spans="2:2">
      <c r="B54" s="4" t="s">
        <v>309</v>
      </c>
    </row>
    <row r="55" spans="2:2">
      <c r="B55" s="4" t="s">
        <v>310</v>
      </c>
    </row>
    <row r="63" spans="2:2">
      <c r="B63" s="4"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
  <sheetViews>
    <sheetView workbookViewId="0">
      <selection activeCell="G7" sqref="G7"/>
    </sheetView>
  </sheetViews>
  <sheetFormatPr defaultColWidth="21.140625" defaultRowHeight="14.45"/>
  <cols>
    <col min="1" max="1" width="20.42578125" style="4" bestFit="1" customWidth="1"/>
    <col min="2" max="2" width="19.140625" style="4" bestFit="1" customWidth="1"/>
    <col min="3" max="3" width="22.42578125" style="4" bestFit="1" customWidth="1"/>
    <col min="4" max="4" width="13.42578125" style="4" bestFit="1" customWidth="1"/>
    <col min="5" max="5" width="19.7109375" style="4" bestFit="1" customWidth="1"/>
    <col min="6" max="6" width="7.140625" style="4" bestFit="1" customWidth="1"/>
    <col min="7" max="7" width="12" style="4" customWidth="1"/>
    <col min="8" max="8" width="9.5703125" style="4" bestFit="1" customWidth="1"/>
    <col min="9" max="9" width="10" style="4" bestFit="1" customWidth="1"/>
    <col min="10" max="10" width="10.140625" style="4" bestFit="1" customWidth="1"/>
    <col min="11" max="11" width="16.140625" style="4" bestFit="1" customWidth="1"/>
    <col min="12" max="12" width="49.85546875" style="4" bestFit="1" customWidth="1"/>
    <col min="13" max="13" width="57" style="4" bestFit="1" customWidth="1"/>
    <col min="14" max="14" width="10.7109375" style="4" bestFit="1" customWidth="1"/>
    <col min="15" max="16384" width="21.140625" style="4"/>
  </cols>
  <sheetData>
    <row r="1" spans="1:15">
      <c r="A1" s="7" t="s">
        <v>196</v>
      </c>
      <c r="B1" s="7" t="s">
        <v>318</v>
      </c>
      <c r="C1" s="7" t="s">
        <v>319</v>
      </c>
      <c r="D1" s="7" t="s">
        <v>320</v>
      </c>
      <c r="E1" s="7" t="s">
        <v>321</v>
      </c>
      <c r="F1" s="7" t="s">
        <v>322</v>
      </c>
      <c r="G1" s="7" t="s">
        <v>323</v>
      </c>
      <c r="H1" s="7" t="s">
        <v>324</v>
      </c>
      <c r="I1" s="7" t="s">
        <v>325</v>
      </c>
      <c r="J1" s="7" t="s">
        <v>326</v>
      </c>
      <c r="K1" s="7" t="s">
        <v>295</v>
      </c>
      <c r="L1" s="7" t="s">
        <v>296</v>
      </c>
      <c r="M1" s="7" t="s">
        <v>297</v>
      </c>
      <c r="N1" s="7" t="s">
        <v>298</v>
      </c>
      <c r="O1" s="7"/>
    </row>
    <row r="2" spans="1:15">
      <c r="A2" s="4" t="s">
        <v>214</v>
      </c>
      <c r="B2" s="4" t="s">
        <v>215</v>
      </c>
      <c r="C2" s="4" t="s">
        <v>327</v>
      </c>
      <c r="D2" s="4" t="s">
        <v>328</v>
      </c>
      <c r="F2" s="4">
        <v>0.30719999999999997</v>
      </c>
      <c r="G2" s="4">
        <v>67</v>
      </c>
      <c r="H2" s="4">
        <v>50</v>
      </c>
      <c r="I2" s="4">
        <v>32</v>
      </c>
      <c r="J2" s="4">
        <v>485</v>
      </c>
      <c r="L2" s="4" t="s">
        <v>329</v>
      </c>
      <c r="M2" s="4" t="s">
        <v>330</v>
      </c>
    </row>
    <row r="3" spans="1:15">
      <c r="A3" s="4" t="s">
        <v>302</v>
      </c>
      <c r="B3" s="4" t="s">
        <v>331</v>
      </c>
      <c r="C3" s="4" t="s">
        <v>332</v>
      </c>
      <c r="D3" s="4" t="s">
        <v>328</v>
      </c>
      <c r="F3" s="4">
        <v>0.33200000000000002</v>
      </c>
      <c r="G3" s="4">
        <v>71</v>
      </c>
      <c r="H3" s="4">
        <v>57</v>
      </c>
      <c r="I3" s="4">
        <v>33</v>
      </c>
      <c r="J3" s="4">
        <v>485</v>
      </c>
      <c r="L3" s="4" t="s">
        <v>333</v>
      </c>
      <c r="M3" s="4" t="s">
        <v>334</v>
      </c>
    </row>
    <row r="4" spans="1:15" ht="15">
      <c r="A4" s="4" t="s">
        <v>244</v>
      </c>
      <c r="B4" s="4" t="s">
        <v>37</v>
      </c>
      <c r="C4" s="4" t="s">
        <v>335</v>
      </c>
      <c r="D4" s="4" t="s">
        <v>336</v>
      </c>
      <c r="E4" s="4" t="s">
        <v>337</v>
      </c>
      <c r="F4" s="4">
        <v>0.43859999999999999</v>
      </c>
      <c r="G4" s="4">
        <v>93</v>
      </c>
      <c r="H4" s="4">
        <v>114</v>
      </c>
      <c r="I4" s="4">
        <v>18</v>
      </c>
      <c r="J4" s="4">
        <v>513</v>
      </c>
      <c r="L4" s="12" t="s">
        <v>338</v>
      </c>
      <c r="N4" s="4" t="s">
        <v>339</v>
      </c>
    </row>
    <row r="5" spans="1:15" ht="15">
      <c r="A5" s="4" t="s">
        <v>259</v>
      </c>
      <c r="B5" s="4" t="s">
        <v>37</v>
      </c>
      <c r="C5" s="4" t="s">
        <v>335</v>
      </c>
      <c r="D5" s="4" t="s">
        <v>336</v>
      </c>
      <c r="E5" s="4" t="s">
        <v>337</v>
      </c>
      <c r="F5" s="4">
        <v>0.46</v>
      </c>
      <c r="G5" s="4">
        <v>91</v>
      </c>
      <c r="H5" s="4">
        <v>117</v>
      </c>
      <c r="I5" s="4">
        <v>28</v>
      </c>
      <c r="J5" s="4">
        <v>513</v>
      </c>
      <c r="L5" s="12" t="s">
        <v>340</v>
      </c>
      <c r="N5" s="4" t="s">
        <v>341</v>
      </c>
    </row>
    <row r="6" spans="1:15">
      <c r="A6" s="4" t="s">
        <v>260</v>
      </c>
      <c r="B6" s="4" t="s">
        <v>215</v>
      </c>
      <c r="C6" s="4" t="s">
        <v>335</v>
      </c>
      <c r="D6" s="4" t="s">
        <v>336</v>
      </c>
      <c r="E6" s="4" t="s">
        <v>337</v>
      </c>
      <c r="F6" s="4">
        <v>0.53220000000000001</v>
      </c>
    </row>
    <row r="7" spans="1:15">
      <c r="A7" s="4" t="s">
        <v>262</v>
      </c>
      <c r="B7" s="4" t="s">
        <v>215</v>
      </c>
      <c r="C7" s="4" t="s">
        <v>335</v>
      </c>
      <c r="D7" s="4" t="s">
        <v>336</v>
      </c>
      <c r="E7" s="4" t="s">
        <v>337</v>
      </c>
      <c r="F7" s="4">
        <v>0.45419999999999999</v>
      </c>
    </row>
    <row r="8" spans="1:15">
      <c r="A8" s="4" t="s">
        <v>263</v>
      </c>
      <c r="B8" s="12" t="s">
        <v>342</v>
      </c>
      <c r="C8" s="4" t="s">
        <v>335</v>
      </c>
      <c r="D8" s="4" t="s">
        <v>336</v>
      </c>
      <c r="E8" s="4" t="s">
        <v>337</v>
      </c>
      <c r="F8" s="4">
        <v>0.40939999999999999</v>
      </c>
    </row>
    <row r="9" spans="1:15">
      <c r="A9" s="4" t="s">
        <v>265</v>
      </c>
      <c r="B9" s="12" t="s">
        <v>342</v>
      </c>
      <c r="C9" s="4" t="s">
        <v>335</v>
      </c>
      <c r="D9" s="4" t="s">
        <v>336</v>
      </c>
      <c r="E9" s="4" t="s">
        <v>337</v>
      </c>
      <c r="F9" s="4">
        <v>0.39650000000000002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F313-ED91-4DE9-967E-A8815A87B8AA}">
  <dimension ref="A1:S1"/>
  <sheetViews>
    <sheetView workbookViewId="0"/>
  </sheetViews>
  <sheetFormatPr defaultRowHeight="14.45"/>
  <cols>
    <col min="1" max="1" width="14" customWidth="1"/>
    <col min="2" max="3" width="18" customWidth="1"/>
    <col min="4" max="4" width="16" customWidth="1"/>
    <col min="5" max="5" width="21" customWidth="1"/>
    <col min="6" max="6" width="25" customWidth="1"/>
    <col min="7" max="7" width="26" customWidth="1"/>
    <col min="8" max="8" width="23" customWidth="1"/>
    <col min="9" max="10" width="26" customWidth="1"/>
    <col min="11" max="11" width="25" customWidth="1"/>
    <col min="12" max="12" width="27" customWidth="1"/>
    <col min="13" max="14" width="22" customWidth="1"/>
    <col min="15" max="15" width="19" customWidth="1"/>
    <col min="16" max="16" width="14" customWidth="1"/>
    <col min="17" max="17" width="31" customWidth="1"/>
    <col min="18" max="18" width="33" customWidth="1"/>
    <col min="19" max="19" width="12" customWidth="1"/>
  </cols>
  <sheetData>
    <row r="1" spans="1:19">
      <c r="A1" s="1" t="s">
        <v>138</v>
      </c>
      <c r="B1" s="1" t="s">
        <v>318</v>
      </c>
      <c r="C1" s="1" t="s">
        <v>319</v>
      </c>
      <c r="D1" s="1" t="s">
        <v>320</v>
      </c>
      <c r="E1" s="1" t="s">
        <v>321</v>
      </c>
      <c r="F1" s="1" t="s">
        <v>343</v>
      </c>
      <c r="G1" s="1" t="s">
        <v>344</v>
      </c>
      <c r="H1" s="1" t="s">
        <v>345</v>
      </c>
      <c r="I1" s="1" t="s">
        <v>346</v>
      </c>
      <c r="J1" s="1" t="s">
        <v>347</v>
      </c>
      <c r="K1" s="1" t="s">
        <v>348</v>
      </c>
      <c r="L1" s="1" t="s">
        <v>349</v>
      </c>
      <c r="M1" s="1" t="s">
        <v>350</v>
      </c>
      <c r="N1" s="1" t="s">
        <v>351</v>
      </c>
      <c r="O1" s="1" t="s">
        <v>352</v>
      </c>
      <c r="P1" s="1" t="s">
        <v>353</v>
      </c>
      <c r="Q1" s="1" t="s">
        <v>354</v>
      </c>
      <c r="R1" s="1" t="s">
        <v>355</v>
      </c>
      <c r="S1" s="1" t="s">
        <v>298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45"/>
  <cols>
    <col min="1" max="1" width="26" customWidth="1"/>
    <col min="2" max="2" width="48.5703125" bestFit="1" customWidth="1"/>
  </cols>
  <sheetData>
    <row r="1" spans="1:2">
      <c r="A1" s="1" t="s">
        <v>356</v>
      </c>
      <c r="B1" s="1" t="s">
        <v>357</v>
      </c>
    </row>
    <row r="2" spans="1:2">
      <c r="A2" t="s">
        <v>358</v>
      </c>
      <c r="B2" t="s">
        <v>359</v>
      </c>
    </row>
    <row r="3" spans="1:2">
      <c r="A3" t="s">
        <v>360</v>
      </c>
      <c r="B3" t="s">
        <v>361</v>
      </c>
    </row>
    <row r="4" spans="1:2">
      <c r="A4" t="s">
        <v>362</v>
      </c>
      <c r="B4" t="s">
        <v>363</v>
      </c>
    </row>
    <row r="5" spans="1:2">
      <c r="A5" t="s">
        <v>364</v>
      </c>
      <c r="B5" t="s">
        <v>365</v>
      </c>
    </row>
    <row r="6" spans="1:2">
      <c r="A6" t="s">
        <v>366</v>
      </c>
      <c r="B6" t="s">
        <v>367</v>
      </c>
    </row>
    <row r="7" spans="1:2">
      <c r="A7" t="s">
        <v>368</v>
      </c>
      <c r="B7" t="s">
        <v>369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2617C-9490-40B5-A69F-69681BE97225}">
  <dimension ref="B2:D4"/>
  <sheetViews>
    <sheetView workbookViewId="0">
      <selection activeCell="B3" sqref="B3"/>
    </sheetView>
  </sheetViews>
  <sheetFormatPr defaultRowHeight="14.45"/>
  <cols>
    <col min="2" max="2" width="11" bestFit="1" customWidth="1"/>
    <col min="3" max="3" width="13.42578125" bestFit="1" customWidth="1"/>
  </cols>
  <sheetData>
    <row r="2" spans="2:4">
      <c r="B2" t="s">
        <v>370</v>
      </c>
      <c r="C2" t="s">
        <v>290</v>
      </c>
      <c r="D2" t="s">
        <v>371</v>
      </c>
    </row>
    <row r="3" spans="2:4">
      <c r="B3" t="s">
        <v>372</v>
      </c>
      <c r="C3" t="s">
        <v>373</v>
      </c>
    </row>
    <row r="4" spans="2:4">
      <c r="C4" t="s">
        <v>374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D899-6402-4DCE-B316-03323E36F0EC}">
  <dimension ref="A1:Y24"/>
  <sheetViews>
    <sheetView workbookViewId="0">
      <selection activeCell="R21" sqref="R21"/>
    </sheetView>
  </sheetViews>
  <sheetFormatPr defaultRowHeight="15" customHeight="1"/>
  <cols>
    <col min="1" max="1" width="8.5703125" style="4" bestFit="1" customWidth="1"/>
    <col min="2" max="2" width="18.85546875" style="4" bestFit="1" customWidth="1"/>
    <col min="3" max="3" width="86.140625" style="4" bestFit="1" customWidth="1"/>
    <col min="4" max="4" width="33.7109375" style="4" bestFit="1" customWidth="1"/>
    <col min="5" max="5" width="10.5703125" style="4" bestFit="1" customWidth="1"/>
    <col min="6" max="6" width="9.42578125" style="4" bestFit="1" customWidth="1"/>
    <col min="7" max="16384" width="9.140625" style="4"/>
  </cols>
  <sheetData>
    <row r="1" spans="1:25">
      <c r="D1" s="35" t="s">
        <v>375</v>
      </c>
      <c r="E1" s="35"/>
      <c r="F1" s="35"/>
      <c r="G1" s="36" t="s">
        <v>376</v>
      </c>
      <c r="H1" s="36"/>
      <c r="I1" s="36"/>
      <c r="J1" s="36"/>
      <c r="K1" s="37" t="s">
        <v>377</v>
      </c>
      <c r="L1" s="37"/>
      <c r="M1" s="37"/>
      <c r="N1" s="37"/>
      <c r="O1" s="37"/>
      <c r="P1" s="38" t="s">
        <v>378</v>
      </c>
      <c r="Q1" s="38"/>
      <c r="R1" s="38"/>
      <c r="S1" s="38"/>
      <c r="T1" s="38"/>
      <c r="U1" s="38"/>
      <c r="V1" s="10"/>
      <c r="W1" s="10"/>
      <c r="X1" s="10"/>
      <c r="Y1" s="10"/>
    </row>
    <row r="2" spans="1:25" s="15" customFormat="1" ht="12.75">
      <c r="A2" s="6" t="s">
        <v>195</v>
      </c>
      <c r="B2" s="6" t="s">
        <v>196</v>
      </c>
      <c r="C2" s="6" t="s">
        <v>379</v>
      </c>
      <c r="D2" s="6" t="s">
        <v>198</v>
      </c>
      <c r="E2" s="6" t="s">
        <v>199</v>
      </c>
      <c r="F2" s="6" t="s">
        <v>200</v>
      </c>
      <c r="G2" s="14"/>
      <c r="H2" s="14"/>
      <c r="I2" s="14"/>
      <c r="J2" s="14"/>
      <c r="K2" s="14" t="s">
        <v>380</v>
      </c>
      <c r="L2" s="14" t="s">
        <v>322</v>
      </c>
      <c r="M2" s="14" t="s">
        <v>381</v>
      </c>
      <c r="N2" s="14" t="s">
        <v>382</v>
      </c>
      <c r="O2" s="14" t="s">
        <v>383</v>
      </c>
      <c r="P2" s="14" t="s">
        <v>384</v>
      </c>
      <c r="Q2" s="14" t="s">
        <v>385</v>
      </c>
      <c r="R2" s="14" t="s">
        <v>290</v>
      </c>
      <c r="S2" s="14" t="s">
        <v>386</v>
      </c>
      <c r="T2" s="14" t="s">
        <v>387</v>
      </c>
      <c r="U2" s="14" t="s">
        <v>388</v>
      </c>
      <c r="V2" s="14"/>
      <c r="W2" s="14"/>
      <c r="X2" s="14"/>
      <c r="Y2" s="14"/>
    </row>
    <row r="3" spans="1:25">
      <c r="A3" s="4" t="s">
        <v>389</v>
      </c>
      <c r="B3" s="4" t="s">
        <v>245</v>
      </c>
      <c r="C3" s="4" t="s">
        <v>390</v>
      </c>
      <c r="D3" s="4" t="str">
        <f>'Pre-Processing'!D3</f>
        <v>loudness normalisation</v>
      </c>
      <c r="E3" s="4">
        <f>'Pre-Processing'!E3</f>
        <v>8.1</v>
      </c>
      <c r="F3" s="4">
        <f>'Pre-Processing'!F3</f>
        <v>8.1</v>
      </c>
      <c r="K3" s="4">
        <f>ASR!J2</f>
        <v>485</v>
      </c>
      <c r="L3" s="4">
        <v>0.30299999999999999</v>
      </c>
      <c r="M3" s="4">
        <v>67</v>
      </c>
      <c r="N3" s="4">
        <v>50</v>
      </c>
      <c r="O3" s="4">
        <v>32</v>
      </c>
      <c r="P3" s="4">
        <v>4</v>
      </c>
      <c r="Q3" s="4">
        <v>2</v>
      </c>
      <c r="R3" s="4">
        <v>0.442</v>
      </c>
      <c r="S3" s="4">
        <v>0.19500000000000001</v>
      </c>
      <c r="T3" s="4">
        <v>0.17799999999999999</v>
      </c>
      <c r="U3" s="4">
        <v>6.9000000000000006E-2</v>
      </c>
    </row>
    <row r="4" spans="1:25">
      <c r="A4" s="4" t="s">
        <v>391</v>
      </c>
      <c r="B4" s="4" t="s">
        <v>245</v>
      </c>
      <c r="C4" s="4" t="s">
        <v>390</v>
      </c>
      <c r="D4" s="4" t="s">
        <v>392</v>
      </c>
      <c r="E4" s="4">
        <v>7.99</v>
      </c>
      <c r="F4" s="4">
        <v>8.02</v>
      </c>
      <c r="K4" s="4">
        <f>ASR!J3</f>
        <v>485</v>
      </c>
      <c r="L4" s="4">
        <v>0.33200000000000002</v>
      </c>
      <c r="M4" s="4">
        <v>71</v>
      </c>
      <c r="N4" s="4">
        <v>57</v>
      </c>
      <c r="O4" s="4">
        <v>33</v>
      </c>
      <c r="P4" s="4">
        <v>4</v>
      </c>
      <c r="Q4" s="4">
        <v>2</v>
      </c>
      <c r="R4" s="4">
        <v>0.51600000000000001</v>
      </c>
      <c r="S4" s="4">
        <v>0.191</v>
      </c>
      <c r="T4" s="4">
        <v>0.20499999999999999</v>
      </c>
      <c r="U4" s="4">
        <v>0.12</v>
      </c>
    </row>
    <row r="5" spans="1:25">
      <c r="A5" s="4" t="s">
        <v>244</v>
      </c>
      <c r="B5" s="4" t="s">
        <v>245</v>
      </c>
      <c r="C5" s="12" t="s">
        <v>393</v>
      </c>
      <c r="D5" s="4" t="s">
        <v>394</v>
      </c>
      <c r="E5" s="4">
        <v>4.0599999999999996</v>
      </c>
      <c r="F5" s="4">
        <v>4.2300000000000004</v>
      </c>
      <c r="K5" s="4">
        <f>ASR!J4</f>
        <v>513</v>
      </c>
      <c r="L5" s="4">
        <v>0.43859999999999999</v>
      </c>
      <c r="M5" s="4">
        <v>93</v>
      </c>
      <c r="N5" s="4">
        <v>114</v>
      </c>
      <c r="O5" s="4">
        <v>18</v>
      </c>
      <c r="P5" s="4">
        <v>4</v>
      </c>
      <c r="Q5" s="4">
        <v>2</v>
      </c>
      <c r="R5" s="4">
        <v>0.4103</v>
      </c>
      <c r="S5" s="4">
        <v>0.19919999999999999</v>
      </c>
      <c r="T5" s="4">
        <v>0.1401</v>
      </c>
      <c r="U5" s="4">
        <v>7.1099999999999997E-2</v>
      </c>
    </row>
    <row r="6" spans="1:25">
      <c r="A6" s="4" t="s">
        <v>259</v>
      </c>
      <c r="B6" s="4" t="s">
        <v>245</v>
      </c>
      <c r="C6" s="12" t="s">
        <v>395</v>
      </c>
      <c r="D6" s="4" t="s">
        <v>396</v>
      </c>
      <c r="E6" s="4">
        <v>4.0599999999999996</v>
      </c>
      <c r="F6" s="4">
        <v>4.2300000000000004</v>
      </c>
      <c r="K6" s="4">
        <f>ASR!J5</f>
        <v>513</v>
      </c>
      <c r="L6" s="4">
        <v>0.46</v>
      </c>
      <c r="M6" s="4">
        <v>91</v>
      </c>
      <c r="N6" s="4">
        <v>117</v>
      </c>
      <c r="O6" s="4">
        <v>28</v>
      </c>
      <c r="P6" s="4">
        <v>4</v>
      </c>
      <c r="Q6" s="4">
        <v>3</v>
      </c>
      <c r="R6" s="4">
        <v>0.54059999999999997</v>
      </c>
      <c r="S6" s="4">
        <v>0.15720000000000001</v>
      </c>
      <c r="T6" s="4">
        <v>0.24279999999999999</v>
      </c>
      <c r="U6" s="4">
        <v>0.14050000000000001</v>
      </c>
    </row>
    <row r="7" spans="1:25" ht="15" customHeight="1">
      <c r="A7" s="4" t="s">
        <v>260</v>
      </c>
      <c r="B7" s="4" t="s">
        <v>39</v>
      </c>
      <c r="C7" s="4" t="s">
        <v>397</v>
      </c>
      <c r="D7" s="4" t="s">
        <v>398</v>
      </c>
      <c r="K7" s="4">
        <v>513</v>
      </c>
      <c r="L7" s="4">
        <v>0.49320000000000003</v>
      </c>
      <c r="M7" s="4">
        <v>94</v>
      </c>
      <c r="N7" s="4">
        <v>147</v>
      </c>
      <c r="O7" s="4">
        <v>12</v>
      </c>
      <c r="P7" s="4">
        <v>4</v>
      </c>
      <c r="Q7" s="4">
        <v>3</v>
      </c>
      <c r="R7" s="4">
        <v>0.48420000000000002</v>
      </c>
      <c r="S7" s="4">
        <v>0.21529999999999999</v>
      </c>
      <c r="T7" s="4">
        <v>0.18229999999999999</v>
      </c>
      <c r="U7" s="4">
        <v>8.6599999999999996E-2</v>
      </c>
    </row>
    <row r="8" spans="1:25" ht="15" customHeight="1">
      <c r="A8" s="4" t="s">
        <v>262</v>
      </c>
      <c r="B8" s="4" t="s">
        <v>53</v>
      </c>
      <c r="C8" s="4" t="s">
        <v>397</v>
      </c>
      <c r="D8" s="4" t="s">
        <v>398</v>
      </c>
      <c r="K8" s="4">
        <v>1705</v>
      </c>
      <c r="L8" s="4">
        <v>0.4012</v>
      </c>
      <c r="M8" s="4">
        <v>160</v>
      </c>
      <c r="N8" s="4">
        <v>515</v>
      </c>
      <c r="O8" s="4">
        <v>9</v>
      </c>
      <c r="P8" s="4">
        <v>6</v>
      </c>
      <c r="Q8" s="4">
        <v>4</v>
      </c>
      <c r="R8" s="4">
        <v>0.54459999999999997</v>
      </c>
      <c r="S8" s="4">
        <v>0.15440000000000001</v>
      </c>
      <c r="T8" s="4">
        <v>0.1837</v>
      </c>
      <c r="U8" s="4">
        <v>0.20649999999999999</v>
      </c>
    </row>
    <row r="9" spans="1:25" ht="15" customHeight="1">
      <c r="A9" s="4" t="s">
        <v>263</v>
      </c>
      <c r="B9" s="4" t="s">
        <v>64</v>
      </c>
      <c r="C9" s="4" t="s">
        <v>397</v>
      </c>
      <c r="D9" s="4" t="s">
        <v>398</v>
      </c>
      <c r="K9" s="4">
        <v>1913</v>
      </c>
      <c r="L9" s="4">
        <v>0.48670000000000002</v>
      </c>
      <c r="M9" s="4">
        <v>244</v>
      </c>
      <c r="N9" s="4">
        <v>670</v>
      </c>
      <c r="O9" s="4">
        <v>17</v>
      </c>
      <c r="P9" s="4">
        <v>9</v>
      </c>
      <c r="Q9" s="4">
        <v>4</v>
      </c>
      <c r="R9" s="4">
        <v>0.85270000000000001</v>
      </c>
      <c r="S9" s="4">
        <v>0.1779</v>
      </c>
      <c r="T9" s="4">
        <v>0.41789999999999999</v>
      </c>
      <c r="U9" s="4">
        <v>0.25690000000000002</v>
      </c>
    </row>
    <row r="10" spans="1:25" ht="15" customHeight="1">
      <c r="A10" s="4" t="s">
        <v>265</v>
      </c>
      <c r="B10" s="4" t="s">
        <v>81</v>
      </c>
      <c r="C10" s="4" t="s">
        <v>397</v>
      </c>
      <c r="D10" s="4" t="s">
        <v>398</v>
      </c>
      <c r="K10" s="4">
        <v>4008</v>
      </c>
      <c r="L10" s="4">
        <v>0.4743</v>
      </c>
      <c r="M10" s="4">
        <v>439</v>
      </c>
      <c r="N10" s="4">
        <v>1401</v>
      </c>
      <c r="O10" s="4">
        <v>61</v>
      </c>
      <c r="P10" s="4">
        <v>17</v>
      </c>
      <c r="Q10" s="4">
        <v>4</v>
      </c>
      <c r="R10" s="4">
        <v>0.91020000000000001</v>
      </c>
      <c r="S10" s="4">
        <v>0.1736</v>
      </c>
      <c r="T10" s="4">
        <v>0.29480000000000001</v>
      </c>
      <c r="U10" s="4">
        <v>0.44180000000000003</v>
      </c>
    </row>
    <row r="11" spans="1:25" ht="15" customHeight="1">
      <c r="A11" s="4" t="s">
        <v>266</v>
      </c>
      <c r="B11" s="4" t="s">
        <v>89</v>
      </c>
      <c r="C11" s="4" t="s">
        <v>397</v>
      </c>
      <c r="D11" s="4" t="s">
        <v>398</v>
      </c>
      <c r="K11" s="4">
        <v>2047</v>
      </c>
      <c r="L11" s="4">
        <v>0.61599999999999999</v>
      </c>
      <c r="M11" s="4">
        <v>125</v>
      </c>
      <c r="N11" s="4">
        <v>1110</v>
      </c>
      <c r="O11" s="4">
        <v>26</v>
      </c>
      <c r="P11" s="4">
        <v>11</v>
      </c>
      <c r="Q11" s="4">
        <v>4</v>
      </c>
      <c r="R11" s="4">
        <v>0.70040000000000002</v>
      </c>
      <c r="S11" s="4">
        <v>0.42530000000000001</v>
      </c>
      <c r="T11" s="4">
        <v>9.6699999999999994E-2</v>
      </c>
      <c r="U11" s="4">
        <v>0.1784</v>
      </c>
    </row>
    <row r="12" spans="1:25" ht="15" customHeight="1">
      <c r="A12" s="4" t="s">
        <v>271</v>
      </c>
      <c r="B12" s="4" t="s">
        <v>105</v>
      </c>
      <c r="C12" s="4" t="s">
        <v>397</v>
      </c>
      <c r="D12" s="4" t="s">
        <v>398</v>
      </c>
      <c r="K12" s="4">
        <v>955</v>
      </c>
      <c r="L12" s="4">
        <v>0.5948</v>
      </c>
      <c r="M12" s="4">
        <v>271</v>
      </c>
      <c r="N12" s="4">
        <v>246</v>
      </c>
      <c r="O12" s="4">
        <v>51</v>
      </c>
      <c r="P12" s="4">
        <v>3</v>
      </c>
      <c r="Q12" s="4">
        <v>3</v>
      </c>
      <c r="R12" s="4">
        <v>2.1522999999999999</v>
      </c>
      <c r="S12" s="4">
        <v>9.7199999999999995E-2</v>
      </c>
      <c r="T12" s="4">
        <v>1.9672000000000001</v>
      </c>
      <c r="U12" s="4">
        <v>8.7900000000000006E-2</v>
      </c>
    </row>
    <row r="13" spans="1:25" ht="15" customHeight="1">
      <c r="A13" s="4" t="s">
        <v>273</v>
      </c>
      <c r="B13" s="4" t="s">
        <v>113</v>
      </c>
      <c r="C13" s="4" t="s">
        <v>397</v>
      </c>
      <c r="D13" s="4" t="s">
        <v>398</v>
      </c>
      <c r="K13" s="4">
        <v>520</v>
      </c>
      <c r="L13" s="4">
        <v>0.1923</v>
      </c>
      <c r="M13" s="4">
        <v>33</v>
      </c>
      <c r="N13" s="4">
        <v>66</v>
      </c>
      <c r="O13" s="4">
        <v>1</v>
      </c>
      <c r="P13" s="4">
        <v>5</v>
      </c>
      <c r="Q13" s="4">
        <v>2</v>
      </c>
      <c r="R13" s="4">
        <v>0.3538</v>
      </c>
      <c r="S13" s="4">
        <v>0.1646</v>
      </c>
      <c r="T13" s="4">
        <v>5.2200000000000003E-2</v>
      </c>
      <c r="U13" s="4">
        <v>0.13700000000000001</v>
      </c>
    </row>
    <row r="14" spans="1:25" ht="15" customHeight="1">
      <c r="A14" s="4" t="s">
        <v>275</v>
      </c>
      <c r="B14" s="4" t="s">
        <v>119</v>
      </c>
      <c r="C14" s="4" t="s">
        <v>397</v>
      </c>
      <c r="D14" s="4" t="s">
        <v>398</v>
      </c>
      <c r="K14" s="4">
        <v>319</v>
      </c>
      <c r="L14" s="4">
        <v>0.21</v>
      </c>
      <c r="M14" s="4">
        <v>18</v>
      </c>
      <c r="N14" s="4">
        <v>43</v>
      </c>
      <c r="O14" s="4">
        <v>6</v>
      </c>
      <c r="P14" s="4">
        <v>5</v>
      </c>
      <c r="Q14" s="4">
        <v>2</v>
      </c>
      <c r="R14" s="4">
        <v>0.58489999999999998</v>
      </c>
      <c r="S14" s="4">
        <v>0.4632</v>
      </c>
      <c r="T14" s="4">
        <v>1.5100000000000001E-2</v>
      </c>
      <c r="U14" s="4">
        <v>0.1065</v>
      </c>
    </row>
    <row r="15" spans="1:25" ht="15" customHeight="1">
      <c r="A15" s="4" t="s">
        <v>277</v>
      </c>
      <c r="B15" s="4" t="s">
        <v>133</v>
      </c>
      <c r="C15" s="4" t="s">
        <v>397</v>
      </c>
      <c r="D15" s="4" t="s">
        <v>398</v>
      </c>
      <c r="K15" s="4">
        <v>4391</v>
      </c>
      <c r="L15" s="4">
        <v>0.39129999999999998</v>
      </c>
      <c r="M15" s="4">
        <v>501</v>
      </c>
      <c r="N15" s="4">
        <v>1128</v>
      </c>
      <c r="O15" s="4">
        <v>89</v>
      </c>
      <c r="P15" s="4">
        <v>9</v>
      </c>
      <c r="Q15" s="4">
        <v>4</v>
      </c>
      <c r="R15" s="4">
        <v>0.71940000000000004</v>
      </c>
      <c r="S15" s="4">
        <v>0.10340000000000001</v>
      </c>
      <c r="T15" s="4">
        <v>0.33700000000000002</v>
      </c>
      <c r="U15" s="4">
        <v>0.27889999999999998</v>
      </c>
    </row>
    <row r="16" spans="1:25" ht="15" customHeight="1">
      <c r="A16" s="4" t="s">
        <v>399</v>
      </c>
      <c r="B16" s="4" t="s">
        <v>39</v>
      </c>
      <c r="C16" s="4" t="s">
        <v>400</v>
      </c>
      <c r="D16" s="4" t="s">
        <v>398</v>
      </c>
      <c r="K16" s="4">
        <v>513</v>
      </c>
      <c r="L16" s="4">
        <v>0.45419999999999999</v>
      </c>
      <c r="M16" s="4">
        <v>94</v>
      </c>
      <c r="N16" s="4">
        <v>131</v>
      </c>
      <c r="O16" s="4">
        <v>8</v>
      </c>
      <c r="P16" s="4">
        <v>4</v>
      </c>
      <c r="Q16" s="4">
        <v>3</v>
      </c>
      <c r="R16" s="4">
        <v>0.50249999999999995</v>
      </c>
      <c r="S16" s="4">
        <v>0.15740000000000001</v>
      </c>
      <c r="T16" s="4">
        <v>0.25009999999999999</v>
      </c>
      <c r="U16" s="4">
        <v>9.5000000000000001E-2</v>
      </c>
    </row>
    <row r="17" spans="1:21" ht="15" customHeight="1">
      <c r="A17" s="4" t="s">
        <v>401</v>
      </c>
      <c r="B17" s="4" t="s">
        <v>53</v>
      </c>
      <c r="C17" s="4" t="s">
        <v>400</v>
      </c>
      <c r="D17" s="4" t="s">
        <v>398</v>
      </c>
      <c r="K17" s="4">
        <v>1705</v>
      </c>
      <c r="L17" s="4">
        <v>0.39650000000000002</v>
      </c>
      <c r="M17" s="4">
        <v>159</v>
      </c>
      <c r="N17" s="4">
        <v>498</v>
      </c>
      <c r="O17" s="4">
        <v>19</v>
      </c>
      <c r="P17" s="4">
        <v>6</v>
      </c>
      <c r="Q17" s="4">
        <v>4</v>
      </c>
      <c r="R17" s="4">
        <v>0.54239999999999999</v>
      </c>
      <c r="S17" s="4">
        <v>0.11119999999999999</v>
      </c>
      <c r="T17" s="4">
        <v>0.20349999999999999</v>
      </c>
      <c r="U17" s="4">
        <v>0.22770000000000001</v>
      </c>
    </row>
    <row r="18" spans="1:21" ht="15" customHeight="1">
      <c r="A18" s="4" t="s">
        <v>402</v>
      </c>
      <c r="B18" s="4" t="s">
        <v>64</v>
      </c>
      <c r="C18" s="4" t="s">
        <v>400</v>
      </c>
      <c r="D18" s="4" t="s">
        <v>398</v>
      </c>
      <c r="K18" s="4">
        <v>1913</v>
      </c>
      <c r="L18" s="4">
        <v>0.4642</v>
      </c>
      <c r="M18" s="4">
        <v>266</v>
      </c>
      <c r="N18" s="4">
        <v>600</v>
      </c>
      <c r="O18" s="4">
        <v>22</v>
      </c>
      <c r="P18" s="4">
        <v>9</v>
      </c>
      <c r="Q18" s="4">
        <v>4</v>
      </c>
      <c r="R18" s="4">
        <v>0.87190000000000001</v>
      </c>
      <c r="S18" s="4">
        <v>0.13619999999999999</v>
      </c>
      <c r="T18" s="4">
        <v>0.45839999999999997</v>
      </c>
      <c r="U18" s="4">
        <v>0.27729999999999999</v>
      </c>
    </row>
    <row r="19" spans="1:21" ht="15" customHeight="1">
      <c r="A19" s="4" t="s">
        <v>403</v>
      </c>
      <c r="B19" s="4" t="s">
        <v>81</v>
      </c>
      <c r="C19" s="4" t="s">
        <v>400</v>
      </c>
      <c r="D19" s="4" t="s">
        <v>398</v>
      </c>
      <c r="K19" s="4">
        <v>4008</v>
      </c>
      <c r="L19" s="4">
        <v>0.46529999999999999</v>
      </c>
      <c r="M19" s="4">
        <v>471</v>
      </c>
      <c r="N19" s="4">
        <v>1341</v>
      </c>
      <c r="O19" s="4">
        <v>53</v>
      </c>
      <c r="P19" s="4">
        <v>17</v>
      </c>
      <c r="Q19" s="4">
        <v>4</v>
      </c>
      <c r="R19" s="4">
        <v>0.91539999999999999</v>
      </c>
      <c r="S19" s="4">
        <v>0.1469</v>
      </c>
      <c r="T19" s="4">
        <v>0.31219999999999998</v>
      </c>
      <c r="U19" s="4">
        <v>0.45639999999999997</v>
      </c>
    </row>
    <row r="20" spans="1:21" ht="15" customHeight="1">
      <c r="A20" s="4" t="s">
        <v>404</v>
      </c>
      <c r="B20" s="4" t="s">
        <v>89</v>
      </c>
      <c r="C20" s="4" t="s">
        <v>400</v>
      </c>
      <c r="D20" s="4" t="s">
        <v>398</v>
      </c>
      <c r="K20" s="4">
        <v>2047</v>
      </c>
      <c r="L20" s="4">
        <v>0.58960000000000001</v>
      </c>
      <c r="M20" s="4">
        <v>135</v>
      </c>
      <c r="N20" s="4">
        <v>1041</v>
      </c>
      <c r="O20" s="4">
        <v>31</v>
      </c>
      <c r="P20" s="4">
        <v>11</v>
      </c>
      <c r="Q20" s="4">
        <v>4</v>
      </c>
      <c r="R20" s="4">
        <v>0.69610000000000005</v>
      </c>
      <c r="S20" s="4">
        <v>0.4042</v>
      </c>
      <c r="T20" s="4">
        <v>0.1007</v>
      </c>
      <c r="U20" s="4">
        <v>0.19120000000000001</v>
      </c>
    </row>
    <row r="21" spans="1:21" ht="15" customHeight="1">
      <c r="A21" s="4" t="s">
        <v>405</v>
      </c>
      <c r="B21" s="4" t="s">
        <v>105</v>
      </c>
      <c r="C21" s="4" t="s">
        <v>400</v>
      </c>
      <c r="D21" s="4" t="s">
        <v>398</v>
      </c>
      <c r="K21" s="4">
        <v>955</v>
      </c>
      <c r="L21" s="4">
        <v>0.58320000000000005</v>
      </c>
      <c r="M21" s="4">
        <v>253</v>
      </c>
      <c r="N21" s="4">
        <v>265</v>
      </c>
      <c r="O21" s="4">
        <v>39</v>
      </c>
      <c r="P21" s="4">
        <v>3</v>
      </c>
      <c r="Q21" s="4">
        <v>3</v>
      </c>
      <c r="R21" s="4">
        <v>2.1545999999999998</v>
      </c>
      <c r="S21" s="4">
        <v>9.35E-2</v>
      </c>
      <c r="T21" s="4">
        <v>1.9734</v>
      </c>
      <c r="U21" s="4">
        <v>8.77E-2</v>
      </c>
    </row>
    <row r="22" spans="1:21" ht="15" customHeight="1">
      <c r="A22" s="4" t="s">
        <v>406</v>
      </c>
      <c r="B22" s="4" t="s">
        <v>113</v>
      </c>
      <c r="C22" s="4" t="s">
        <v>400</v>
      </c>
      <c r="D22" s="4" t="s">
        <v>398</v>
      </c>
      <c r="K22" s="4">
        <v>520</v>
      </c>
      <c r="L22" s="4">
        <v>0.1981</v>
      </c>
      <c r="M22" s="4">
        <v>43</v>
      </c>
      <c r="N22" s="4">
        <v>55</v>
      </c>
      <c r="O22" s="4">
        <v>5</v>
      </c>
      <c r="P22" s="4">
        <v>5</v>
      </c>
      <c r="Q22" s="4">
        <v>3</v>
      </c>
      <c r="R22" s="4">
        <v>0.33200000000000002</v>
      </c>
      <c r="S22" s="4">
        <v>0.1358</v>
      </c>
      <c r="T22" s="4">
        <v>5.7299999999999997E-2</v>
      </c>
      <c r="U22" s="4">
        <v>0.1389</v>
      </c>
    </row>
    <row r="23" spans="1:21" ht="15" customHeight="1">
      <c r="A23" s="4" t="s">
        <v>407</v>
      </c>
      <c r="B23" s="4" t="s">
        <v>119</v>
      </c>
      <c r="C23" s="4" t="s">
        <v>400</v>
      </c>
      <c r="D23" s="4" t="s">
        <v>398</v>
      </c>
      <c r="K23" s="4">
        <v>319</v>
      </c>
      <c r="L23" s="4">
        <v>0.2288</v>
      </c>
      <c r="M23" s="4">
        <v>26</v>
      </c>
      <c r="N23" s="4">
        <v>41</v>
      </c>
      <c r="O23" s="4">
        <v>6</v>
      </c>
      <c r="P23" s="4">
        <v>5</v>
      </c>
      <c r="Q23" s="4">
        <v>2</v>
      </c>
      <c r="R23" s="4">
        <v>0.56169999999999998</v>
      </c>
      <c r="S23" s="4">
        <v>0.41749999999999998</v>
      </c>
      <c r="T23" s="4">
        <v>2.4799999999999999E-2</v>
      </c>
      <c r="U23" s="4">
        <v>0.11940000000000001</v>
      </c>
    </row>
    <row r="24" spans="1:21" ht="15" customHeight="1">
      <c r="A24" s="4" t="s">
        <v>408</v>
      </c>
      <c r="B24" s="4" t="s">
        <v>133</v>
      </c>
      <c r="C24" s="4" t="s">
        <v>400</v>
      </c>
      <c r="D24" s="4" t="s">
        <v>398</v>
      </c>
      <c r="K24" s="4">
        <v>4391</v>
      </c>
      <c r="L24" s="4">
        <v>0.38350000000000001</v>
      </c>
      <c r="M24" s="4">
        <v>500</v>
      </c>
      <c r="N24" s="4">
        <v>1080</v>
      </c>
      <c r="O24" s="4">
        <v>104</v>
      </c>
      <c r="P24" s="4">
        <v>9</v>
      </c>
      <c r="Q24" s="4">
        <v>4</v>
      </c>
      <c r="R24" s="4">
        <v>0.71689999999999998</v>
      </c>
      <c r="S24" s="4">
        <v>8.4000000000000005E-2</v>
      </c>
      <c r="T24" s="4">
        <v>0.34449999999999997</v>
      </c>
      <c r="U24" s="4">
        <v>0.28839999999999999</v>
      </c>
    </row>
  </sheetData>
  <mergeCells count="4">
    <mergeCell ref="D1:F1"/>
    <mergeCell ref="G1:J1"/>
    <mergeCell ref="K1:O1"/>
    <mergeCell ref="P1:U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9A67-E2CD-40A4-85F9-E9A84B8DF713}">
  <dimension ref="A1:O20"/>
  <sheetViews>
    <sheetView tabSelected="1" workbookViewId="0">
      <selection activeCell="L21" sqref="L21"/>
    </sheetView>
  </sheetViews>
  <sheetFormatPr defaultRowHeight="15"/>
  <cols>
    <col min="12" max="12" width="11.7109375" customWidth="1"/>
  </cols>
  <sheetData>
    <row r="1" spans="1:15">
      <c r="A1" t="s">
        <v>195</v>
      </c>
      <c r="B1" t="s">
        <v>0</v>
      </c>
      <c r="C1" t="s">
        <v>409</v>
      </c>
      <c r="D1" t="s">
        <v>410</v>
      </c>
      <c r="E1" t="s">
        <v>411</v>
      </c>
      <c r="F1" t="s">
        <v>412</v>
      </c>
      <c r="G1" t="s">
        <v>413</v>
      </c>
      <c r="H1" t="s">
        <v>414</v>
      </c>
      <c r="I1" t="s">
        <v>415</v>
      </c>
      <c r="J1" t="s">
        <v>291</v>
      </c>
      <c r="K1" t="s">
        <v>292</v>
      </c>
      <c r="L1" t="s">
        <v>416</v>
      </c>
      <c r="M1" t="s">
        <v>417</v>
      </c>
      <c r="N1" t="s">
        <v>418</v>
      </c>
      <c r="O1" t="s">
        <v>419</v>
      </c>
    </row>
    <row r="2" spans="1:15">
      <c r="A2" t="s">
        <v>420</v>
      </c>
      <c r="B2" t="s">
        <v>39</v>
      </c>
      <c r="C2" t="s">
        <v>421</v>
      </c>
      <c r="D2">
        <v>120</v>
      </c>
      <c r="E2">
        <v>99</v>
      </c>
      <c r="F2">
        <v>90</v>
      </c>
      <c r="G2">
        <v>9</v>
      </c>
      <c r="H2">
        <v>30</v>
      </c>
      <c r="I2">
        <v>36</v>
      </c>
      <c r="J2">
        <v>0.90910000000000002</v>
      </c>
      <c r="K2">
        <v>0.75</v>
      </c>
      <c r="L2">
        <v>0.82189999999999996</v>
      </c>
      <c r="M2">
        <v>0.7772</v>
      </c>
      <c r="N2">
        <v>0.2</v>
      </c>
      <c r="O2">
        <v>9.0899999999999995E-2</v>
      </c>
    </row>
    <row r="3" spans="1:15">
      <c r="A3" t="s">
        <v>422</v>
      </c>
      <c r="B3" t="s">
        <v>53</v>
      </c>
      <c r="C3" t="s">
        <v>423</v>
      </c>
      <c r="D3">
        <v>345</v>
      </c>
      <c r="E3">
        <v>314</v>
      </c>
      <c r="F3">
        <v>268</v>
      </c>
      <c r="G3">
        <v>46</v>
      </c>
      <c r="H3">
        <v>77</v>
      </c>
      <c r="I3">
        <v>34</v>
      </c>
      <c r="J3">
        <v>0.85350000000000004</v>
      </c>
      <c r="K3">
        <v>0.77680000000000005</v>
      </c>
      <c r="L3">
        <v>0.81340000000000001</v>
      </c>
      <c r="M3">
        <v>0.79100000000000004</v>
      </c>
      <c r="N3">
        <v>0.57499999999999996</v>
      </c>
      <c r="O3">
        <v>0.14649999999999999</v>
      </c>
    </row>
    <row r="4" spans="1:15">
      <c r="A4" t="s">
        <v>424</v>
      </c>
      <c r="B4" t="s">
        <v>64</v>
      </c>
      <c r="C4" t="s">
        <v>425</v>
      </c>
      <c r="D4">
        <v>369</v>
      </c>
      <c r="E4">
        <v>360</v>
      </c>
      <c r="F4">
        <v>262</v>
      </c>
      <c r="G4">
        <v>98</v>
      </c>
      <c r="H4">
        <v>107</v>
      </c>
      <c r="I4">
        <v>185</v>
      </c>
      <c r="J4">
        <v>0.7278</v>
      </c>
      <c r="K4">
        <v>0.71</v>
      </c>
      <c r="L4">
        <v>0.71879999999999999</v>
      </c>
      <c r="M4">
        <v>0.71350000000000002</v>
      </c>
      <c r="N4">
        <v>0.3463</v>
      </c>
      <c r="O4">
        <v>0.2722</v>
      </c>
    </row>
    <row r="5" spans="1:15">
      <c r="A5" t="s">
        <v>426</v>
      </c>
      <c r="B5" t="s">
        <v>81</v>
      </c>
      <c r="C5" t="s">
        <v>427</v>
      </c>
      <c r="D5">
        <v>804</v>
      </c>
      <c r="E5">
        <v>731</v>
      </c>
      <c r="F5">
        <v>603</v>
      </c>
      <c r="G5">
        <v>128</v>
      </c>
      <c r="H5">
        <v>201</v>
      </c>
      <c r="I5">
        <v>123</v>
      </c>
      <c r="J5">
        <v>0.82489999999999997</v>
      </c>
      <c r="K5">
        <v>0.75</v>
      </c>
      <c r="L5">
        <v>0.78569999999999995</v>
      </c>
      <c r="M5">
        <v>0.76390000000000002</v>
      </c>
      <c r="N5">
        <v>0.51</v>
      </c>
      <c r="O5">
        <v>0.17510000000000001</v>
      </c>
    </row>
    <row r="6" spans="1:15">
      <c r="A6" t="s">
        <v>428</v>
      </c>
      <c r="B6" t="s">
        <v>89</v>
      </c>
      <c r="C6" t="s">
        <v>429</v>
      </c>
      <c r="D6">
        <v>747</v>
      </c>
      <c r="E6">
        <v>390</v>
      </c>
      <c r="F6">
        <v>352</v>
      </c>
      <c r="G6">
        <v>38</v>
      </c>
      <c r="H6">
        <v>395</v>
      </c>
      <c r="I6">
        <v>227</v>
      </c>
      <c r="J6">
        <v>0.90259999999999996</v>
      </c>
      <c r="K6">
        <v>0.47120000000000001</v>
      </c>
      <c r="L6">
        <v>0.61919999999999997</v>
      </c>
      <c r="M6">
        <v>0.52100000000000002</v>
      </c>
      <c r="N6">
        <v>0.1434</v>
      </c>
      <c r="O6">
        <v>9.74E-2</v>
      </c>
    </row>
    <row r="7" spans="1:15">
      <c r="A7" t="s">
        <v>430</v>
      </c>
      <c r="B7" t="s">
        <v>105</v>
      </c>
      <c r="C7" t="s">
        <v>431</v>
      </c>
      <c r="D7">
        <v>65</v>
      </c>
      <c r="E7">
        <v>185</v>
      </c>
      <c r="F7">
        <v>64</v>
      </c>
      <c r="G7">
        <v>121</v>
      </c>
      <c r="H7">
        <v>1</v>
      </c>
      <c r="I7">
        <v>9</v>
      </c>
      <c r="J7">
        <v>0.34589999999999999</v>
      </c>
      <c r="K7">
        <v>0.98460000000000003</v>
      </c>
      <c r="L7">
        <v>0.51200000000000001</v>
      </c>
      <c r="M7">
        <v>0.71909999999999996</v>
      </c>
      <c r="N7">
        <v>0.93079999999999996</v>
      </c>
      <c r="O7">
        <v>0.65410000000000001</v>
      </c>
    </row>
    <row r="8" spans="1:15">
      <c r="A8" t="s">
        <v>432</v>
      </c>
      <c r="B8" t="s">
        <v>113</v>
      </c>
      <c r="C8" t="s">
        <v>433</v>
      </c>
      <c r="D8">
        <v>194</v>
      </c>
      <c r="E8">
        <v>169</v>
      </c>
      <c r="F8">
        <v>161</v>
      </c>
      <c r="G8">
        <v>8</v>
      </c>
      <c r="H8">
        <v>33</v>
      </c>
      <c r="I8">
        <v>13</v>
      </c>
      <c r="J8">
        <v>0.95269999999999999</v>
      </c>
      <c r="K8">
        <v>0.82989999999999997</v>
      </c>
      <c r="L8">
        <v>0.8871</v>
      </c>
      <c r="M8">
        <v>0.85189999999999999</v>
      </c>
      <c r="N8">
        <v>0.38100000000000001</v>
      </c>
      <c r="O8">
        <v>4.7300000000000002E-2</v>
      </c>
    </row>
    <row r="9" spans="1:15">
      <c r="A9" t="s">
        <v>434</v>
      </c>
      <c r="B9" t="s">
        <v>119</v>
      </c>
      <c r="C9" t="s">
        <v>435</v>
      </c>
      <c r="D9">
        <v>162</v>
      </c>
      <c r="E9">
        <v>106</v>
      </c>
      <c r="F9">
        <v>106</v>
      </c>
      <c r="G9">
        <v>0</v>
      </c>
      <c r="H9">
        <v>56</v>
      </c>
      <c r="I9">
        <v>13</v>
      </c>
      <c r="J9">
        <v>1</v>
      </c>
      <c r="K9">
        <v>0.65429999999999999</v>
      </c>
      <c r="L9">
        <v>0.79100000000000004</v>
      </c>
      <c r="M9">
        <v>0.70289999999999997</v>
      </c>
      <c r="N9">
        <v>0</v>
      </c>
      <c r="O9">
        <v>0</v>
      </c>
    </row>
    <row r="10" spans="1:15">
      <c r="A10" t="s">
        <v>436</v>
      </c>
      <c r="B10" t="s">
        <v>133</v>
      </c>
      <c r="C10" t="s">
        <v>437</v>
      </c>
      <c r="D10">
        <v>861</v>
      </c>
      <c r="E10">
        <v>861</v>
      </c>
      <c r="F10">
        <v>706</v>
      </c>
      <c r="G10">
        <v>155</v>
      </c>
      <c r="H10">
        <v>155</v>
      </c>
      <c r="I10">
        <v>42</v>
      </c>
      <c r="J10">
        <v>0.82</v>
      </c>
      <c r="K10">
        <v>0.82</v>
      </c>
      <c r="L10">
        <v>0.82</v>
      </c>
      <c r="M10">
        <v>0.82</v>
      </c>
      <c r="N10">
        <v>0.78680000000000005</v>
      </c>
      <c r="O10">
        <v>0.18</v>
      </c>
    </row>
    <row r="11" spans="1:15">
      <c r="A11" t="s">
        <v>399</v>
      </c>
      <c r="B11" t="s">
        <v>39</v>
      </c>
      <c r="C11" t="s">
        <v>421</v>
      </c>
      <c r="D11">
        <v>120</v>
      </c>
      <c r="E11">
        <v>106</v>
      </c>
      <c r="F11">
        <v>95</v>
      </c>
      <c r="G11">
        <v>11</v>
      </c>
      <c r="H11">
        <v>25</v>
      </c>
      <c r="I11">
        <v>34</v>
      </c>
      <c r="J11">
        <v>0.8962</v>
      </c>
      <c r="K11">
        <v>0.79169999999999996</v>
      </c>
      <c r="L11">
        <v>0.8407</v>
      </c>
      <c r="M11">
        <v>0.81059999999999999</v>
      </c>
      <c r="N11">
        <v>0.24440000000000001</v>
      </c>
      <c r="O11">
        <v>0.1038</v>
      </c>
    </row>
    <row r="12" spans="1:15">
      <c r="A12" t="s">
        <v>401</v>
      </c>
      <c r="B12" t="s">
        <v>53</v>
      </c>
      <c r="C12" t="s">
        <v>423</v>
      </c>
      <c r="D12">
        <v>345</v>
      </c>
      <c r="E12">
        <v>322</v>
      </c>
      <c r="F12">
        <v>275</v>
      </c>
      <c r="G12">
        <v>47</v>
      </c>
      <c r="H12">
        <v>70</v>
      </c>
      <c r="I12">
        <v>33</v>
      </c>
      <c r="J12">
        <v>0.85399999999999998</v>
      </c>
      <c r="K12">
        <v>0.79710000000000003</v>
      </c>
      <c r="L12">
        <v>0.8246</v>
      </c>
      <c r="M12">
        <v>0.80789999999999995</v>
      </c>
      <c r="N12">
        <v>0.58750000000000002</v>
      </c>
      <c r="O12">
        <v>0.14599999999999999</v>
      </c>
    </row>
    <row r="13" spans="1:15">
      <c r="A13" t="s">
        <v>402</v>
      </c>
      <c r="B13" t="s">
        <v>64</v>
      </c>
      <c r="C13" t="s">
        <v>425</v>
      </c>
      <c r="D13">
        <v>369</v>
      </c>
      <c r="E13">
        <v>388</v>
      </c>
      <c r="F13">
        <v>277</v>
      </c>
      <c r="G13">
        <v>111</v>
      </c>
      <c r="H13">
        <v>92</v>
      </c>
      <c r="I13">
        <v>172</v>
      </c>
      <c r="J13">
        <v>0.71389999999999998</v>
      </c>
      <c r="K13">
        <v>0.75070000000000003</v>
      </c>
      <c r="L13">
        <v>0.73180000000000001</v>
      </c>
      <c r="M13">
        <v>0.74299999999999999</v>
      </c>
      <c r="N13">
        <v>0.39219999999999999</v>
      </c>
      <c r="O13">
        <v>0.28610000000000002</v>
      </c>
    </row>
    <row r="14" spans="1:15">
      <c r="A14" t="s">
        <v>403</v>
      </c>
      <c r="B14" t="s">
        <v>81</v>
      </c>
      <c r="C14" t="s">
        <v>427</v>
      </c>
      <c r="D14">
        <v>804</v>
      </c>
      <c r="E14">
        <v>742</v>
      </c>
      <c r="F14">
        <v>610</v>
      </c>
      <c r="G14">
        <v>132</v>
      </c>
      <c r="H14">
        <v>194</v>
      </c>
      <c r="I14">
        <v>119</v>
      </c>
      <c r="J14">
        <v>0.82210000000000005</v>
      </c>
      <c r="K14">
        <v>0.75870000000000004</v>
      </c>
      <c r="L14">
        <v>0.78910000000000002</v>
      </c>
      <c r="M14">
        <v>0.77059999999999995</v>
      </c>
      <c r="N14">
        <v>0.52590000000000003</v>
      </c>
      <c r="O14">
        <v>0.1779</v>
      </c>
    </row>
    <row r="15" spans="1:15">
      <c r="A15" t="s">
        <v>404</v>
      </c>
      <c r="B15" t="s">
        <v>89</v>
      </c>
      <c r="C15" t="s">
        <v>429</v>
      </c>
      <c r="D15">
        <v>747</v>
      </c>
      <c r="E15">
        <v>387</v>
      </c>
      <c r="F15">
        <v>355</v>
      </c>
      <c r="G15">
        <v>32</v>
      </c>
      <c r="H15">
        <v>392</v>
      </c>
      <c r="I15">
        <v>233</v>
      </c>
      <c r="J15">
        <v>0.9173</v>
      </c>
      <c r="K15">
        <v>0.47520000000000001</v>
      </c>
      <c r="L15">
        <v>0.62609999999999999</v>
      </c>
      <c r="M15">
        <v>0.52590000000000003</v>
      </c>
      <c r="N15">
        <v>0.1208</v>
      </c>
      <c r="O15">
        <v>8.2699999999999996E-2</v>
      </c>
    </row>
    <row r="16" spans="1:15">
      <c r="A16" t="s">
        <v>405</v>
      </c>
      <c r="B16" t="s">
        <v>105</v>
      </c>
      <c r="C16" t="s">
        <v>431</v>
      </c>
      <c r="D16">
        <v>65</v>
      </c>
      <c r="E16">
        <v>184</v>
      </c>
      <c r="F16">
        <v>64</v>
      </c>
      <c r="G16">
        <v>120</v>
      </c>
      <c r="H16">
        <v>1</v>
      </c>
      <c r="I16">
        <v>10</v>
      </c>
      <c r="J16">
        <v>0.3478</v>
      </c>
      <c r="K16">
        <v>0.98460000000000003</v>
      </c>
      <c r="L16">
        <v>0.5141</v>
      </c>
      <c r="M16">
        <v>0.72070000000000001</v>
      </c>
      <c r="N16">
        <v>0.92310000000000003</v>
      </c>
      <c r="O16">
        <v>0.6522</v>
      </c>
    </row>
    <row r="17" spans="1:15">
      <c r="A17" t="s">
        <v>406</v>
      </c>
      <c r="B17" t="s">
        <v>113</v>
      </c>
      <c r="C17" t="s">
        <v>433</v>
      </c>
      <c r="D17">
        <v>194</v>
      </c>
      <c r="E17">
        <v>171</v>
      </c>
      <c r="F17">
        <v>162</v>
      </c>
      <c r="G17">
        <v>9</v>
      </c>
      <c r="H17">
        <v>32</v>
      </c>
      <c r="I17">
        <v>12</v>
      </c>
      <c r="J17">
        <v>0.94740000000000002</v>
      </c>
      <c r="K17">
        <v>0.83509999999999995</v>
      </c>
      <c r="L17">
        <v>0.88770000000000004</v>
      </c>
      <c r="M17">
        <v>0.85529999999999995</v>
      </c>
      <c r="N17">
        <v>0.42859999999999998</v>
      </c>
      <c r="O17">
        <v>5.2600000000000001E-2</v>
      </c>
    </row>
    <row r="18" spans="1:15">
      <c r="A18" t="s">
        <v>407</v>
      </c>
      <c r="B18" t="s">
        <v>119</v>
      </c>
      <c r="C18" t="s">
        <v>435</v>
      </c>
      <c r="D18">
        <v>162</v>
      </c>
      <c r="E18">
        <v>116</v>
      </c>
      <c r="F18">
        <v>114</v>
      </c>
      <c r="G18">
        <v>2</v>
      </c>
      <c r="H18">
        <v>48</v>
      </c>
      <c r="I18">
        <v>11</v>
      </c>
      <c r="J18">
        <v>0.98280000000000001</v>
      </c>
      <c r="K18">
        <v>0.70369999999999999</v>
      </c>
      <c r="L18">
        <v>0.82010000000000005</v>
      </c>
      <c r="M18">
        <v>0.74609999999999999</v>
      </c>
      <c r="N18">
        <v>0.15379999999999999</v>
      </c>
      <c r="O18">
        <v>1.72E-2</v>
      </c>
    </row>
    <row r="19" spans="1:15">
      <c r="A19" t="s">
        <v>408</v>
      </c>
      <c r="B19" t="s">
        <v>133</v>
      </c>
      <c r="C19" t="s">
        <v>437</v>
      </c>
      <c r="D19">
        <v>861</v>
      </c>
      <c r="E19">
        <v>892</v>
      </c>
      <c r="F19">
        <v>739</v>
      </c>
      <c r="G19">
        <v>153</v>
      </c>
      <c r="H19">
        <v>122</v>
      </c>
      <c r="I19">
        <v>44</v>
      </c>
      <c r="J19">
        <v>0.82850000000000001</v>
      </c>
      <c r="K19">
        <v>0.85829999999999995</v>
      </c>
      <c r="L19">
        <v>0.84309999999999996</v>
      </c>
      <c r="M19">
        <v>0.85219999999999996</v>
      </c>
      <c r="N19">
        <v>0.77659999999999996</v>
      </c>
      <c r="O19">
        <v>0.17150000000000001</v>
      </c>
    </row>
    <row r="20" spans="1:15">
      <c r="L20">
        <f>AVERAGE(L2:L19)</f>
        <v>0.75813333333333321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2026-05-27T10:20:14Z</dcterms:created>
  <dcterms:modified xsi:type="dcterms:W3CDTF">2026-07-12T15:43:38Z</dcterms:modified>
  <cp:category/>
  <cp:contentStatus/>
</cp:coreProperties>
</file>